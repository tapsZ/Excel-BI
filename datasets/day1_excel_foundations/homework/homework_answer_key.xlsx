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Orders" sheetId="1" state="visible" r:id="rId1"/>
    <sheet name="Answers" sheetId="2" state="visible" r:id="rId2"/>
  </sheets>
  <definedNames>
    <definedName name="_xlnm._FilterDatabase" localSheetId="0" hidden="1">'Branch Orders'!$A$1:$I$36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1F4E78"/>
      <sz val="14"/>
    </font>
    <font>
      <i val="1"/>
      <color rgb="00808080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165" fontId="0" fillId="0" borderId="1" pivotButton="0" quotePrefix="0" xfId="0"/>
    <xf numFmtId="0" fontId="0" fillId="0" borderId="1" applyAlignment="1" pivotButton="0" quotePrefix="0" xfId="0">
      <alignment horizontal="center"/>
    </xf>
    <xf numFmtId="166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1" pivotButton="0" quotePrefix="0" xfId="0"/>
    <xf numFmtId="0" fontId="1" fillId="2" borderId="0" applyAlignment="1" pivotButton="0" quotePrefix="0" xfId="0">
      <alignment horizontal="center" vertical="center"/>
    </xf>
    <xf numFmtId="166" fontId="0" fillId="0" borderId="0" pivotButton="0" quotePrefix="0" xfId="0"/>
    <xf numFmtId="1" fontId="0" fillId="0" borderId="0" pivotButton="0" quotePrefix="0" xfId="0"/>
    <xf numFmtId="166" fontId="4" fillId="0" borderId="0" pivotButton="0" quotePrefix="0" xfId="0"/>
    <xf numFmtId="1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Total Sales by Category - Branch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'Answers'!B13</f>
            </strRef>
          </tx>
          <spPr>
            <a:ln>
              <a:prstDash val="solid"/>
            </a:ln>
          </spPr>
          <cat>
            <numRef>
              <f>'Answers'!$A$14:$A$18</f>
            </numRef>
          </cat>
          <val>
            <numRef>
              <f>'Answers'!$B$14:$B$18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.5" customWidth="1" min="1" max="1"/>
    <col width="13.5" customWidth="1" min="2" max="2"/>
    <col width="19.5" customWidth="1" min="3" max="3"/>
    <col width="14.5" customWidth="1" min="4" max="4"/>
    <col width="22.5" customWidth="1" min="5" max="5"/>
    <col width="12.5" customWidth="1" min="6" max="6"/>
    <col width="10.5" customWidth="1" min="7" max="7"/>
    <col width="9.5" customWidth="1" min="8" max="8"/>
    <col width="42" customWidth="1" min="9" max="9"/>
  </cols>
  <sheetData>
    <row r="1" ht="20" customHeight="1">
      <c r="A1" s="1" t="inlineStr">
        <is>
          <t>Order ID</t>
        </is>
      </c>
      <c r="B1" s="1" t="inlineStr">
        <is>
          <t>Order Date</t>
        </is>
      </c>
      <c r="C1" s="1" t="inlineStr">
        <is>
          <t>Customer</t>
        </is>
      </c>
      <c r="D1" s="1" t="inlineStr">
        <is>
          <t>Country</t>
        </is>
      </c>
      <c r="E1" s="1" t="inlineStr">
        <is>
          <t>Product</t>
        </is>
      </c>
      <c r="F1" s="1" t="inlineStr">
        <is>
          <t>Category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Order Size</t>
        </is>
      </c>
    </row>
    <row r="2">
      <c r="A2" s="2" t="inlineStr">
        <is>
          <t>O0046</t>
        </is>
      </c>
      <c r="B2" s="3" t="n">
        <v>45571</v>
      </c>
      <c r="C2" s="2" t="inlineStr">
        <is>
          <t>Chipo Marufu</t>
        </is>
      </c>
      <c r="D2" s="2" t="inlineStr">
        <is>
          <t>Zimbabwe</t>
        </is>
      </c>
      <c r="E2" s="2" t="inlineStr">
        <is>
          <t>Echo Dot 6</t>
        </is>
      </c>
      <c r="F2" s="2" t="inlineStr">
        <is>
          <t>Smart Home</t>
        </is>
      </c>
      <c r="G2" s="4" t="n">
        <v>1</v>
      </c>
      <c r="H2" s="5" t="n">
        <v>174</v>
      </c>
      <c r="I2" s="2">
        <f>IF(H2&gt;=1000,"Large",IF(H2&gt;=300,"Medium","Small"))</f>
        <v/>
      </c>
    </row>
    <row r="3">
      <c r="A3" s="2" t="inlineStr">
        <is>
          <t>O0047</t>
        </is>
      </c>
      <c r="B3" s="3" t="n">
        <v>45489</v>
      </c>
      <c r="C3" s="2" t="inlineStr">
        <is>
          <t>Amara Otieno</t>
        </is>
      </c>
      <c r="D3" s="2" t="inlineStr">
        <is>
          <t>Kenya</t>
        </is>
      </c>
      <c r="E3" s="2" t="inlineStr">
        <is>
          <t>USB-C Hub 7in1</t>
        </is>
      </c>
      <c r="F3" s="2" t="inlineStr">
        <is>
          <t>Accessory</t>
        </is>
      </c>
      <c r="G3" s="4" t="n">
        <v>3</v>
      </c>
      <c r="H3" s="5" t="n">
        <v>396</v>
      </c>
      <c r="I3" s="2">
        <f>IF(H3&gt;=1000,"Large",IF(H3&gt;=300,"Medium","Small"))</f>
        <v/>
      </c>
    </row>
    <row r="4">
      <c r="A4" s="2" t="inlineStr">
        <is>
          <t>O0048</t>
        </is>
      </c>
      <c r="B4" s="3" t="n">
        <v>45478</v>
      </c>
      <c r="C4" s="2" t="inlineStr">
        <is>
          <t>Farai Ncube</t>
        </is>
      </c>
      <c r="D4" s="2" t="inlineStr">
        <is>
          <t>Zimbabwe</t>
        </is>
      </c>
      <c r="E4" s="2" t="inlineStr">
        <is>
          <t>HP Spectre x360</t>
        </is>
      </c>
      <c r="F4" s="2" t="inlineStr">
        <is>
          <t>Laptop</t>
        </is>
      </c>
      <c r="G4" s="4" t="n">
        <v>1</v>
      </c>
      <c r="H4" s="5" t="n">
        <v>1799</v>
      </c>
      <c r="I4" s="2">
        <f>IF(H4&gt;=1000,"Large",IF(H4&gt;=300,"Medium","Small"))</f>
        <v/>
      </c>
    </row>
    <row r="5">
      <c r="A5" s="2" t="inlineStr">
        <is>
          <t>O0049</t>
        </is>
      </c>
      <c r="B5" s="3" t="n">
        <v>45951</v>
      </c>
      <c r="C5" s="2" t="inlineStr">
        <is>
          <t>Tendai Moyo</t>
        </is>
      </c>
      <c r="D5" s="2" t="inlineStr">
        <is>
          <t>Zimbabwe</t>
        </is>
      </c>
      <c r="E5" s="2" t="inlineStr">
        <is>
          <t>ThinkPad X1</t>
        </is>
      </c>
      <c r="F5" s="2" t="inlineStr">
        <is>
          <t>Laptop</t>
        </is>
      </c>
      <c r="G5" s="4" t="n">
        <v>1</v>
      </c>
      <c r="H5" s="5" t="n">
        <v>1259</v>
      </c>
      <c r="I5" s="2">
        <f>IF(H5&gt;=1000,"Large",IF(H5&gt;=300,"Medium","Small"))</f>
        <v/>
      </c>
    </row>
    <row r="6">
      <c r="A6" s="2" t="inlineStr">
        <is>
          <t>O0050</t>
        </is>
      </c>
      <c r="B6" s="3" t="n">
        <v>45438</v>
      </c>
      <c r="C6" s="2" t="inlineStr">
        <is>
          <t>Tendai Moyo</t>
        </is>
      </c>
      <c r="D6" s="2" t="inlineStr">
        <is>
          <t>Zimbabwe</t>
        </is>
      </c>
      <c r="E6" s="2" t="inlineStr">
        <is>
          <t>Laptop Sleeve 15in</t>
        </is>
      </c>
      <c r="F6" s="2" t="inlineStr">
        <is>
          <t>Accessory</t>
        </is>
      </c>
      <c r="G6" s="4" t="n">
        <v>1</v>
      </c>
      <c r="H6" s="5" t="n">
        <v>146</v>
      </c>
      <c r="I6" s="2">
        <f>IF(H6&gt;=1000,"Large",IF(H6&gt;=300,"Medium","Small"))</f>
        <v/>
      </c>
    </row>
    <row r="7">
      <c r="A7" s="2" t="inlineStr">
        <is>
          <t>O0051</t>
        </is>
      </c>
      <c r="B7" s="3" t="n">
        <v>45764</v>
      </c>
      <c r="C7" s="2" t="inlineStr">
        <is>
          <t>Simbarashe Mutasa</t>
        </is>
      </c>
      <c r="D7" s="2" t="inlineStr">
        <is>
          <t>Zimbabwe</t>
        </is>
      </c>
      <c r="E7" s="2" t="inlineStr">
        <is>
          <t>iPad Air 6</t>
        </is>
      </c>
      <c r="F7" s="2" t="inlineStr">
        <is>
          <t>Tablet</t>
        </is>
      </c>
      <c r="G7" s="4" t="n">
        <v>4</v>
      </c>
      <c r="H7" s="5" t="n">
        <v>3980</v>
      </c>
      <c r="I7" s="2">
        <f>IF(H7&gt;=1000,"Large",IF(H7&gt;=300,"Medium","Small"))</f>
        <v/>
      </c>
    </row>
    <row r="8">
      <c r="A8" s="2" t="inlineStr">
        <is>
          <t>O0052</t>
        </is>
      </c>
      <c r="B8" s="3" t="n">
        <v>45554</v>
      </c>
      <c r="C8" s="2" t="inlineStr">
        <is>
          <t>Chanda Phiri</t>
        </is>
      </c>
      <c r="D8" s="2" t="inlineStr">
        <is>
          <t>Zambia</t>
        </is>
      </c>
      <c r="E8" s="2" t="inlineStr">
        <is>
          <t>Dell XPS 15</t>
        </is>
      </c>
      <c r="F8" s="2" t="inlineStr">
        <is>
          <t>Laptop</t>
        </is>
      </c>
      <c r="G8" s="4" t="n">
        <v>1</v>
      </c>
      <c r="H8" s="5" t="n">
        <v>1003</v>
      </c>
      <c r="I8" s="2">
        <f>IF(H8&gt;=1000,"Large",IF(H8&gt;=300,"Medium","Small"))</f>
        <v/>
      </c>
    </row>
    <row r="9">
      <c r="A9" s="2" t="inlineStr">
        <is>
          <t>O0053</t>
        </is>
      </c>
      <c r="B9" s="3" t="n">
        <v>46172</v>
      </c>
      <c r="C9" s="2" t="inlineStr">
        <is>
          <t>Kagiso Molefe</t>
        </is>
      </c>
      <c r="D9" s="2" t="inlineStr">
        <is>
          <t>Botswana</t>
        </is>
      </c>
      <c r="E9" s="2" t="inlineStr">
        <is>
          <t>Pixel 9 Pro</t>
        </is>
      </c>
      <c r="F9" s="2" t="inlineStr">
        <is>
          <t>Smartphone</t>
        </is>
      </c>
      <c r="G9" s="4" t="n">
        <v>1</v>
      </c>
      <c r="H9" s="5" t="n">
        <v>794</v>
      </c>
      <c r="I9" s="2">
        <f>IF(H9&gt;=1000,"Large",IF(H9&gt;=300,"Medium","Small"))</f>
        <v/>
      </c>
    </row>
    <row r="10">
      <c r="A10" s="2" t="inlineStr">
        <is>
          <t>O0054</t>
        </is>
      </c>
      <c r="B10" s="3" t="n">
        <v>46352</v>
      </c>
      <c r="C10" s="2" t="inlineStr">
        <is>
          <t>Amara Otieno</t>
        </is>
      </c>
      <c r="D10" s="2" t="inlineStr">
        <is>
          <t>Kenya</t>
        </is>
      </c>
      <c r="E10" s="2" t="inlineStr">
        <is>
          <t>Dell XPS 15</t>
        </is>
      </c>
      <c r="F10" s="2" t="inlineStr">
        <is>
          <t>Laptop</t>
        </is>
      </c>
      <c r="G10" s="4" t="n">
        <v>4</v>
      </c>
      <c r="H10" s="5" t="n">
        <v>6777.6</v>
      </c>
      <c r="I10" s="2">
        <f>IF(H10&gt;=1000,"Large",IF(H10&gt;=300,"Medium","Small"))</f>
        <v/>
      </c>
    </row>
    <row r="11">
      <c r="A11" s="2" t="inlineStr">
        <is>
          <t>O0055</t>
        </is>
      </c>
      <c r="B11" s="3" t="n">
        <v>46306</v>
      </c>
      <c r="C11" s="2" t="inlineStr">
        <is>
          <t>Amara Otieno</t>
        </is>
      </c>
      <c r="D11" s="2" t="inlineStr">
        <is>
          <t>Kenya</t>
        </is>
      </c>
      <c r="E11" s="2" t="inlineStr">
        <is>
          <t>Surface Go 4</t>
        </is>
      </c>
      <c r="F11" s="2" t="inlineStr">
        <is>
          <t>Tablet</t>
        </is>
      </c>
      <c r="G11" s="4" t="n">
        <v>3</v>
      </c>
      <c r="H11" s="5" t="n">
        <v>2898</v>
      </c>
      <c r="I11" s="2">
        <f>IF(H11&gt;=1000,"Large",IF(H11&gt;=300,"Medium","Small"))</f>
        <v/>
      </c>
    </row>
    <row r="12">
      <c r="A12" s="2" t="inlineStr">
        <is>
          <t>O0056</t>
        </is>
      </c>
      <c r="B12" s="3" t="n">
        <v>45919</v>
      </c>
      <c r="C12" s="2" t="inlineStr">
        <is>
          <t>Rutendo Chikafu</t>
        </is>
      </c>
      <c r="D12" s="2" t="inlineStr">
        <is>
          <t>Zimbabwe</t>
        </is>
      </c>
      <c r="E12" s="2" t="inlineStr">
        <is>
          <t>USB-C Hub 7in1</t>
        </is>
      </c>
      <c r="F12" s="2" t="inlineStr">
        <is>
          <t>Accessory</t>
        </is>
      </c>
      <c r="G12" s="4" t="n">
        <v>2</v>
      </c>
      <c r="H12" s="5" t="n">
        <v>214</v>
      </c>
      <c r="I12" s="2">
        <f>IF(H12&gt;=1000,"Large",IF(H12&gt;=300,"Medium","Small"))</f>
        <v/>
      </c>
    </row>
    <row r="13">
      <c r="A13" s="2" t="inlineStr">
        <is>
          <t>O0057</t>
        </is>
      </c>
      <c r="B13" s="3" t="n">
        <v>45444</v>
      </c>
      <c r="C13" s="2" t="inlineStr">
        <is>
          <t>Farai Ncube</t>
        </is>
      </c>
      <c r="D13" s="2" t="inlineStr">
        <is>
          <t>Zimbabwe</t>
        </is>
      </c>
      <c r="E13" s="2" t="inlineStr">
        <is>
          <t>Bluetooth Headphones</t>
        </is>
      </c>
      <c r="F13" s="2" t="inlineStr">
        <is>
          <t>Accessory</t>
        </is>
      </c>
      <c r="G13" s="4" t="n">
        <v>1</v>
      </c>
      <c r="H13" s="5" t="n">
        <v>165.3</v>
      </c>
      <c r="I13" s="2">
        <f>IF(H13&gt;=1000,"Large",IF(H13&gt;=300,"Medium","Small"))</f>
        <v/>
      </c>
    </row>
    <row r="14">
      <c r="A14" s="2" t="inlineStr">
        <is>
          <t>O0058</t>
        </is>
      </c>
      <c r="B14" s="3" t="n">
        <v>46169</v>
      </c>
      <c r="C14" s="2" t="inlineStr">
        <is>
          <t>Rutendo Chikafu</t>
        </is>
      </c>
      <c r="D14" s="2" t="inlineStr">
        <is>
          <t>Zimbabwe</t>
        </is>
      </c>
      <c r="E14" s="2" t="inlineStr">
        <is>
          <t>Laptop Sleeve 15in</t>
        </is>
      </c>
      <c r="F14" s="2" t="inlineStr">
        <is>
          <t>Accessory</t>
        </is>
      </c>
      <c r="G14" s="4" t="n">
        <v>1</v>
      </c>
      <c r="H14" s="5" t="n">
        <v>75</v>
      </c>
      <c r="I14" s="2">
        <f>IF(H14&gt;=1000,"Large",IF(H14&gt;=300,"Medium","Small"))</f>
        <v/>
      </c>
    </row>
    <row r="15">
      <c r="A15" s="2" t="inlineStr">
        <is>
          <t>O0059</t>
        </is>
      </c>
      <c r="B15" s="3" t="n">
        <v>46113</v>
      </c>
      <c r="C15" s="2" t="inlineStr">
        <is>
          <t>Farai Ncube</t>
        </is>
      </c>
      <c r="D15" s="2" t="inlineStr">
        <is>
          <t>Zimbabwe</t>
        </is>
      </c>
      <c r="E15" s="2" t="inlineStr">
        <is>
          <t>HP Spectre x360</t>
        </is>
      </c>
      <c r="F15" s="2" t="inlineStr">
        <is>
          <t>Laptop</t>
        </is>
      </c>
      <c r="G15" s="4" t="n">
        <v>2</v>
      </c>
      <c r="H15" s="5" t="n">
        <v>2759.4</v>
      </c>
      <c r="I15" s="2">
        <f>IF(H15&gt;=1000,"Large",IF(H15&gt;=300,"Medium","Small"))</f>
        <v/>
      </c>
    </row>
    <row r="16">
      <c r="A16" s="2" t="inlineStr">
        <is>
          <t>O0060</t>
        </is>
      </c>
      <c r="B16" s="3" t="n">
        <v>46248</v>
      </c>
      <c r="C16" s="2" t="inlineStr">
        <is>
          <t>Nyasha Banda</t>
        </is>
      </c>
      <c r="D16" s="2" t="inlineStr">
        <is>
          <t>Zimbabwe</t>
        </is>
      </c>
      <c r="E16" s="2" t="inlineStr">
        <is>
          <t>Galaxy Tab S10</t>
        </is>
      </c>
      <c r="F16" s="2" t="inlineStr">
        <is>
          <t>Tablet</t>
        </is>
      </c>
      <c r="G16" s="4" t="n">
        <v>3</v>
      </c>
      <c r="H16" s="5" t="n">
        <v>1050</v>
      </c>
      <c r="I16" s="2">
        <f>IF(H16&gt;=1000,"Large",IF(H16&gt;=300,"Medium","Small"))</f>
        <v/>
      </c>
    </row>
    <row r="17">
      <c r="A17" s="2" t="inlineStr">
        <is>
          <t>O0061</t>
        </is>
      </c>
      <c r="B17" s="3" t="n">
        <v>45452</v>
      </c>
      <c r="C17" s="2" t="inlineStr">
        <is>
          <t>Tendai Moyo</t>
        </is>
      </c>
      <c r="D17" s="2" t="inlineStr">
        <is>
          <t>Zimbabwe</t>
        </is>
      </c>
      <c r="E17" s="2" t="inlineStr">
        <is>
          <t>iPhone 16</t>
        </is>
      </c>
      <c r="F17" s="2" t="inlineStr">
        <is>
          <t>Smartphone</t>
        </is>
      </c>
      <c r="G17" s="4" t="n">
        <v>1</v>
      </c>
      <c r="H17" s="5" t="n">
        <v>1002</v>
      </c>
      <c r="I17" s="2">
        <f>IF(H17&gt;=1000,"Large",IF(H17&gt;=300,"Medium","Small"))</f>
        <v/>
      </c>
    </row>
    <row r="18">
      <c r="A18" s="2" t="inlineStr">
        <is>
          <t>O0062</t>
        </is>
      </c>
      <c r="B18" s="3" t="n">
        <v>45979</v>
      </c>
      <c r="C18" s="2" t="inlineStr">
        <is>
          <t>Chanda Phiri</t>
        </is>
      </c>
      <c r="D18" s="2" t="inlineStr">
        <is>
          <t>Zambia</t>
        </is>
      </c>
      <c r="E18" s="2" t="inlineStr">
        <is>
          <t>HP Spectre x360</t>
        </is>
      </c>
      <c r="F18" s="2" t="inlineStr">
        <is>
          <t>Laptop</t>
        </is>
      </c>
      <c r="G18" s="4" t="n">
        <v>1</v>
      </c>
      <c r="H18" s="5" t="n">
        <v>1928</v>
      </c>
      <c r="I18" s="2">
        <f>IF(H18&gt;=1000,"Large",IF(H18&gt;=300,"Medium","Small"))</f>
        <v/>
      </c>
    </row>
    <row r="19">
      <c r="A19" s="2" t="inlineStr">
        <is>
          <t>O0063</t>
        </is>
      </c>
      <c r="B19" s="3" t="n">
        <v>45761</v>
      </c>
      <c r="C19" s="2" t="inlineStr">
        <is>
          <t>Simbarashe Mutasa</t>
        </is>
      </c>
      <c r="D19" s="2" t="inlineStr">
        <is>
          <t>Zimbabwe</t>
        </is>
      </c>
      <c r="E19" s="2" t="inlineStr">
        <is>
          <t>iPad Air 6</t>
        </is>
      </c>
      <c r="F19" s="2" t="inlineStr">
        <is>
          <t>Tablet</t>
        </is>
      </c>
      <c r="G19" s="4" t="n">
        <v>1</v>
      </c>
      <c r="H19" s="5" t="n">
        <v>765</v>
      </c>
      <c r="I19" s="2">
        <f>IF(H19&gt;=1000,"Large",IF(H19&gt;=300,"Medium","Small"))</f>
        <v/>
      </c>
    </row>
    <row r="20">
      <c r="A20" s="2" t="inlineStr">
        <is>
          <t>O0064</t>
        </is>
      </c>
      <c r="B20" s="3" t="n">
        <v>45521</v>
      </c>
      <c r="C20" s="2" t="inlineStr">
        <is>
          <t>Chanda Phiri</t>
        </is>
      </c>
      <c r="D20" s="2" t="inlineStr">
        <is>
          <t>Zambia</t>
        </is>
      </c>
      <c r="E20" s="2" t="inlineStr">
        <is>
          <t>Laptop Sleeve 15in</t>
        </is>
      </c>
      <c r="F20" s="2" t="inlineStr">
        <is>
          <t>Accessory</t>
        </is>
      </c>
      <c r="G20" s="4" t="n">
        <v>2</v>
      </c>
      <c r="H20" s="5" t="n">
        <v>212</v>
      </c>
      <c r="I20" s="2">
        <f>IF(H20&gt;=1000,"Large",IF(H20&gt;=300,"Medium","Small"))</f>
        <v/>
      </c>
    </row>
    <row r="21">
      <c r="A21" s="2" t="inlineStr">
        <is>
          <t>O0065</t>
        </is>
      </c>
      <c r="B21" s="3" t="n">
        <v>46170</v>
      </c>
      <c r="C21" s="2" t="inlineStr">
        <is>
          <t>Chanda Phiri</t>
        </is>
      </c>
      <c r="D21" s="2" t="inlineStr">
        <is>
          <t>Zambia</t>
        </is>
      </c>
      <c r="E21" s="2" t="inlineStr">
        <is>
          <t>ThinkPad X1</t>
        </is>
      </c>
      <c r="F21" s="2" t="inlineStr">
        <is>
          <t>Laptop</t>
        </is>
      </c>
      <c r="G21" s="4" t="n">
        <v>1</v>
      </c>
      <c r="H21" s="5" t="n">
        <v>1581</v>
      </c>
      <c r="I21" s="2">
        <f>IF(H21&gt;=1000,"Large",IF(H21&gt;=300,"Medium","Small"))</f>
        <v/>
      </c>
    </row>
    <row r="22">
      <c r="A22" s="2" t="inlineStr">
        <is>
          <t>O0066</t>
        </is>
      </c>
      <c r="B22" s="3" t="n">
        <v>45744</v>
      </c>
      <c r="C22" s="2" t="inlineStr">
        <is>
          <t>Chanda Phiri</t>
        </is>
      </c>
      <c r="D22" s="2" t="inlineStr">
        <is>
          <t>Zambia</t>
        </is>
      </c>
      <c r="E22" s="2" t="inlineStr">
        <is>
          <t>Dell XPS 15</t>
        </is>
      </c>
      <c r="F22" s="2" t="inlineStr">
        <is>
          <t>Laptop</t>
        </is>
      </c>
      <c r="G22" s="4" t="n">
        <v>1</v>
      </c>
      <c r="H22" s="5" t="n">
        <v>1433</v>
      </c>
      <c r="I22" s="2">
        <f>IF(H22&gt;=1000,"Large",IF(H22&gt;=300,"Medium","Small"))</f>
        <v/>
      </c>
    </row>
    <row r="23">
      <c r="A23" s="2" t="inlineStr">
        <is>
          <t>O0067</t>
        </is>
      </c>
      <c r="B23" s="3" t="n">
        <v>46107</v>
      </c>
      <c r="C23" s="2" t="inlineStr">
        <is>
          <t>Rutendo Chikafu</t>
        </is>
      </c>
      <c r="D23" s="2" t="inlineStr">
        <is>
          <t>Zimbabwe</t>
        </is>
      </c>
      <c r="E23" s="2" t="inlineStr">
        <is>
          <t>Dell XPS 15</t>
        </is>
      </c>
      <c r="F23" s="2" t="inlineStr">
        <is>
          <t>Laptop</t>
        </is>
      </c>
      <c r="G23" s="4" t="n">
        <v>1</v>
      </c>
      <c r="H23" s="5" t="n">
        <v>1737</v>
      </c>
      <c r="I23" s="2">
        <f>IF(H23&gt;=1000,"Large",IF(H23&gt;=300,"Medium","Small"))</f>
        <v/>
      </c>
    </row>
    <row r="24">
      <c r="A24" s="2" t="inlineStr">
        <is>
          <t>O0068</t>
        </is>
      </c>
      <c r="B24" s="3" t="n">
        <v>45809</v>
      </c>
      <c r="C24" s="2" t="inlineStr">
        <is>
          <t>Farai Ncube</t>
        </is>
      </c>
      <c r="D24" s="2" t="inlineStr">
        <is>
          <t>Zimbabwe</t>
        </is>
      </c>
      <c r="E24" s="2" t="inlineStr">
        <is>
          <t>iPad Air 6</t>
        </is>
      </c>
      <c r="F24" s="2" t="inlineStr">
        <is>
          <t>Tablet</t>
        </is>
      </c>
      <c r="G24" s="4" t="n">
        <v>1</v>
      </c>
      <c r="H24" s="5" t="n">
        <v>812</v>
      </c>
      <c r="I24" s="2">
        <f>IF(H24&gt;=1000,"Large",IF(H24&gt;=300,"Medium","Small"))</f>
        <v/>
      </c>
    </row>
    <row r="25">
      <c r="A25" s="2" t="inlineStr">
        <is>
          <t>O0069</t>
        </is>
      </c>
      <c r="B25" s="3" t="n">
        <v>46352</v>
      </c>
      <c r="C25" s="2" t="inlineStr">
        <is>
          <t>Thabo Nkosi</t>
        </is>
      </c>
      <c r="D25" s="2" t="inlineStr">
        <is>
          <t>South Africa</t>
        </is>
      </c>
      <c r="E25" s="2" t="inlineStr">
        <is>
          <t>Pixel 9 Pro</t>
        </is>
      </c>
      <c r="F25" s="2" t="inlineStr">
        <is>
          <t>Smartphone</t>
        </is>
      </c>
      <c r="G25" s="4" t="n">
        <v>1</v>
      </c>
      <c r="H25" s="5" t="n">
        <v>1244</v>
      </c>
      <c r="I25" s="2">
        <f>IF(H25&gt;=1000,"Large",IF(H25&gt;=300,"Medium","Small"))</f>
        <v/>
      </c>
    </row>
    <row r="26">
      <c r="A26" s="2" t="inlineStr">
        <is>
          <t>O0070</t>
        </is>
      </c>
      <c r="B26" s="3" t="n">
        <v>45788</v>
      </c>
      <c r="C26" s="2" t="inlineStr">
        <is>
          <t>Nyasha Banda</t>
        </is>
      </c>
      <c r="D26" s="2" t="inlineStr">
        <is>
          <t>Zimbabwe</t>
        </is>
      </c>
      <c r="E26" s="2" t="inlineStr">
        <is>
          <t>Google Nest Hub 3</t>
        </is>
      </c>
      <c r="F26" s="2" t="inlineStr">
        <is>
          <t>Smart Home</t>
        </is>
      </c>
      <c r="G26" s="4" t="n">
        <v>1</v>
      </c>
      <c r="H26" s="5" t="n">
        <v>312</v>
      </c>
      <c r="I26" s="2">
        <f>IF(H26&gt;=1000,"Large",IF(H26&gt;=300,"Medium","Small"))</f>
        <v/>
      </c>
    </row>
    <row r="27">
      <c r="A27" s="2" t="inlineStr">
        <is>
          <t>O0071</t>
        </is>
      </c>
      <c r="B27" s="3" t="n">
        <v>46284</v>
      </c>
      <c r="C27" s="2" t="inlineStr">
        <is>
          <t>Kudzai Sibanda</t>
        </is>
      </c>
      <c r="D27" s="2" t="inlineStr">
        <is>
          <t>Zimbabwe</t>
        </is>
      </c>
      <c r="E27" s="2" t="inlineStr">
        <is>
          <t>Dell XPS 15</t>
        </is>
      </c>
      <c r="F27" s="2" t="inlineStr">
        <is>
          <t>Laptop</t>
        </is>
      </c>
      <c r="G27" s="4" t="n">
        <v>2</v>
      </c>
      <c r="H27" s="5" t="n">
        <v>2561.4</v>
      </c>
      <c r="I27" s="2">
        <f>IF(H27&gt;=1000,"Large",IF(H27&gt;=300,"Medium","Small"))</f>
        <v/>
      </c>
    </row>
    <row r="28">
      <c r="A28" s="2" t="inlineStr">
        <is>
          <t>O0072</t>
        </is>
      </c>
      <c r="B28" s="3" t="n">
        <v>45544</v>
      </c>
      <c r="C28" s="2" t="inlineStr">
        <is>
          <t>Chanda Phiri</t>
        </is>
      </c>
      <c r="D28" s="2" t="inlineStr">
        <is>
          <t>Zambia</t>
        </is>
      </c>
      <c r="E28" s="2" t="inlineStr">
        <is>
          <t>Galaxy Tab S10</t>
        </is>
      </c>
      <c r="F28" s="2" t="inlineStr">
        <is>
          <t>Tablet</t>
        </is>
      </c>
      <c r="G28" s="4" t="n">
        <v>1</v>
      </c>
      <c r="H28" s="5" t="n">
        <v>645</v>
      </c>
      <c r="I28" s="2">
        <f>IF(H28&gt;=1000,"Large",IF(H28&gt;=300,"Medium","Small"))</f>
        <v/>
      </c>
    </row>
    <row r="29">
      <c r="A29" s="2" t="inlineStr">
        <is>
          <t>O0073</t>
        </is>
      </c>
      <c r="B29" s="3" t="n">
        <v>45419</v>
      </c>
      <c r="C29" s="2" t="inlineStr">
        <is>
          <t>Chipo Marufu</t>
        </is>
      </c>
      <c r="D29" s="2" t="inlineStr">
        <is>
          <t>Zimbabwe</t>
        </is>
      </c>
      <c r="E29" s="2" t="inlineStr">
        <is>
          <t>iPhone 16</t>
        </is>
      </c>
      <c r="F29" s="2" t="inlineStr">
        <is>
          <t>Smartphone</t>
        </is>
      </c>
      <c r="G29" s="4" t="n">
        <v>1</v>
      </c>
      <c r="H29" s="5" t="n">
        <v>548.25</v>
      </c>
      <c r="I29" s="2">
        <f>IF(H29&gt;=1000,"Large",IF(H29&gt;=300,"Medium","Small"))</f>
        <v/>
      </c>
    </row>
    <row r="30">
      <c r="A30" s="2" t="inlineStr">
        <is>
          <t>O0074</t>
        </is>
      </c>
      <c r="B30" s="3" t="n">
        <v>45977</v>
      </c>
      <c r="C30" s="2" t="inlineStr">
        <is>
          <t>Rutendo Chikafu</t>
        </is>
      </c>
      <c r="D30" s="2" t="inlineStr">
        <is>
          <t>Zimbabwe</t>
        </is>
      </c>
      <c r="E30" s="2" t="inlineStr">
        <is>
          <t>USB-C Hub 7in1</t>
        </is>
      </c>
      <c r="F30" s="2" t="inlineStr">
        <is>
          <t>Accessory</t>
        </is>
      </c>
      <c r="G30" s="4" t="n">
        <v>1</v>
      </c>
      <c r="H30" s="5" t="n">
        <v>43.2</v>
      </c>
      <c r="I30" s="2">
        <f>IF(H30&gt;=1000,"Large",IF(H30&gt;=300,"Medium","Small"))</f>
        <v/>
      </c>
    </row>
    <row r="31">
      <c r="A31" s="2" t="inlineStr">
        <is>
          <t>O0075</t>
        </is>
      </c>
      <c r="B31" s="3" t="n">
        <v>46145</v>
      </c>
      <c r="C31" s="2" t="inlineStr">
        <is>
          <t>Kagiso Molefe</t>
        </is>
      </c>
      <c r="D31" s="2" t="inlineStr">
        <is>
          <t>Botswana</t>
        </is>
      </c>
      <c r="E31" s="2" t="inlineStr">
        <is>
          <t>OnePlus 13</t>
        </is>
      </c>
      <c r="F31" s="2" t="inlineStr">
        <is>
          <t>Smartphone</t>
        </is>
      </c>
      <c r="G31" s="4" t="n">
        <v>1</v>
      </c>
      <c r="H31" s="5" t="n">
        <v>677</v>
      </c>
      <c r="I31" s="2">
        <f>IF(H31&gt;=1000,"Large",IF(H31&gt;=300,"Medium","Small"))</f>
        <v/>
      </c>
    </row>
    <row r="32">
      <c r="A32" s="2" t="inlineStr">
        <is>
          <t>O0076</t>
        </is>
      </c>
      <c r="B32" s="3" t="n">
        <v>45446</v>
      </c>
      <c r="C32" s="2" t="inlineStr">
        <is>
          <t>Simbarashe Mutasa</t>
        </is>
      </c>
      <c r="D32" s="2" t="inlineStr">
        <is>
          <t>Zimbabwe</t>
        </is>
      </c>
      <c r="E32" s="2" t="inlineStr">
        <is>
          <t>Dell XPS 15</t>
        </is>
      </c>
      <c r="F32" s="2" t="inlineStr">
        <is>
          <t>Laptop</t>
        </is>
      </c>
      <c r="G32" s="4" t="n">
        <v>1</v>
      </c>
      <c r="H32" s="5" t="n">
        <v>1996</v>
      </c>
      <c r="I32" s="2">
        <f>IF(H32&gt;=1000,"Large",IF(H32&gt;=300,"Medium","Small"))</f>
        <v/>
      </c>
    </row>
    <row r="33">
      <c r="A33" s="2" t="inlineStr">
        <is>
          <t>O0077</t>
        </is>
      </c>
      <c r="B33" s="3" t="n">
        <v>45537</v>
      </c>
      <c r="C33" s="2" t="inlineStr">
        <is>
          <t>Kudzai Sibanda</t>
        </is>
      </c>
      <c r="D33" s="2" t="inlineStr">
        <is>
          <t>Zimbabwe</t>
        </is>
      </c>
      <c r="E33" s="2" t="inlineStr">
        <is>
          <t>ThinkPad X1</t>
        </is>
      </c>
      <c r="F33" s="2" t="inlineStr">
        <is>
          <t>Laptop</t>
        </is>
      </c>
      <c r="G33" s="4" t="n">
        <v>1</v>
      </c>
      <c r="H33" s="5" t="n">
        <v>1608.35</v>
      </c>
      <c r="I33" s="2">
        <f>IF(H33&gt;=1000,"Large",IF(H33&gt;=300,"Medium","Small"))</f>
        <v/>
      </c>
    </row>
    <row r="34">
      <c r="A34" s="2" t="inlineStr">
        <is>
          <t>O0078</t>
        </is>
      </c>
      <c r="B34" s="3" t="n">
        <v>46050</v>
      </c>
      <c r="C34" s="2" t="inlineStr">
        <is>
          <t>Thabo Nkosi</t>
        </is>
      </c>
      <c r="D34" s="2" t="inlineStr">
        <is>
          <t>South Africa</t>
        </is>
      </c>
      <c r="E34" s="2" t="inlineStr">
        <is>
          <t>Galaxy S24</t>
        </is>
      </c>
      <c r="F34" s="2" t="inlineStr">
        <is>
          <t>Smartphone</t>
        </is>
      </c>
      <c r="G34" s="4" t="n">
        <v>1</v>
      </c>
      <c r="H34" s="5" t="n">
        <v>848</v>
      </c>
      <c r="I34" s="2">
        <f>IF(H34&gt;=1000,"Large",IF(H34&gt;=300,"Medium","Small"))</f>
        <v/>
      </c>
    </row>
    <row r="35">
      <c r="A35" s="2" t="inlineStr">
        <is>
          <t>O0079</t>
        </is>
      </c>
      <c r="B35" s="3" t="n">
        <v>45612</v>
      </c>
      <c r="C35" s="2" t="inlineStr">
        <is>
          <t>Chipo Marufu</t>
        </is>
      </c>
      <c r="D35" s="2" t="inlineStr">
        <is>
          <t>Zimbabwe</t>
        </is>
      </c>
      <c r="E35" s="2" t="inlineStr">
        <is>
          <t>Echo Dot 6</t>
        </is>
      </c>
      <c r="F35" s="2" t="inlineStr">
        <is>
          <t>Smart Home</t>
        </is>
      </c>
      <c r="G35" s="4" t="n">
        <v>1</v>
      </c>
      <c r="H35" s="5" t="n">
        <v>94.5</v>
      </c>
      <c r="I35" s="2">
        <f>IF(H35&gt;=1000,"Large",IF(H35&gt;=300,"Medium","Small"))</f>
        <v/>
      </c>
    </row>
    <row r="36">
      <c r="A36" s="2" t="inlineStr">
        <is>
          <t>O0080</t>
        </is>
      </c>
      <c r="B36" s="3" t="n">
        <v>45691</v>
      </c>
      <c r="C36" s="2" t="inlineStr">
        <is>
          <t>Thabo Nkosi</t>
        </is>
      </c>
      <c r="D36" s="2" t="inlineStr">
        <is>
          <t>South Africa</t>
        </is>
      </c>
      <c r="E36" s="2" t="inlineStr">
        <is>
          <t>Wireless Mouse Pro</t>
        </is>
      </c>
      <c r="F36" s="2" t="inlineStr">
        <is>
          <t>Accessory</t>
        </is>
      </c>
      <c r="G36" s="4" t="n">
        <v>1</v>
      </c>
      <c r="H36" s="5" t="n">
        <v>135</v>
      </c>
      <c r="I36" s="2">
        <f>IF(H36&gt;=1000,"Large",IF(H36&gt;=300,"Medium","Small"))</f>
        <v/>
      </c>
    </row>
  </sheetData>
  <autoFilter ref="A1:I36"/>
  <conditionalFormatting sqref="H2:H36">
    <cfRule type="dataBar" priority="1">
      <dataBar>
        <cfvo type="min"/>
        <cfvo type="max"/>
        <color rgb="00638EC6"/>
      </dataBar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38.5" customWidth="1" min="3" max="3"/>
  </cols>
  <sheetData>
    <row r="1">
      <c r="A1" s="6" t="inlineStr">
        <is>
          <t>Day 1 Homework - Answer Key</t>
        </is>
      </c>
    </row>
    <row r="2">
      <c r="A2" s="7" t="inlineStr">
        <is>
          <t>Every answer below is a live formula reading the Branch Orders sheet. Click a cell to see how it was worked out.</t>
        </is>
      </c>
    </row>
    <row r="3"/>
    <row r="4">
      <c r="A4" s="8" t="inlineStr">
        <is>
          <t>Q1  Total sales for the branch</t>
        </is>
      </c>
      <c r="B4" s="5">
        <f>SUM('Branch Orders'!H2:H36)</f>
        <v/>
      </c>
    </row>
    <row r="5">
      <c r="A5" s="8" t="inlineStr">
        <is>
          <t>Q2  Number of orders</t>
        </is>
      </c>
      <c r="B5" s="9">
        <f>COUNT('Branch Orders'!H2:H36)</f>
        <v/>
      </c>
    </row>
    <row r="6">
      <c r="A6" s="8" t="inlineStr">
        <is>
          <t>Q3  Average order value</t>
        </is>
      </c>
      <c r="B6" s="5">
        <f>AVERAGE('Branch Orders'!H2:H36)</f>
        <v/>
      </c>
    </row>
    <row r="7">
      <c r="A7" s="8" t="inlineStr">
        <is>
          <t>Q4  Largest single order</t>
        </is>
      </c>
      <c r="B7" s="5">
        <f>MAX('Branch Orders'!H2:H36)</f>
        <v/>
      </c>
    </row>
    <row r="8">
      <c r="A8" s="8" t="inlineStr">
        <is>
          <t>Q5  Which category earned the most?</t>
        </is>
      </c>
    </row>
    <row r="9">
      <c r="A9" s="8" t="inlineStr">
        <is>
          <t>Q6  How many orders were over $1,000?</t>
        </is>
      </c>
      <c r="B9" s="9">
        <f>COUNTIF('Branch Orders'!H2:H36,"&gt;1000")</f>
        <v/>
      </c>
    </row>
    <row r="10">
      <c r="A10" s="8" t="inlineStr">
        <is>
          <t>Q7  Total sales outside Zimbabwe</t>
        </is>
      </c>
      <c r="B10" s="5">
        <f>SUMIF('Branch Orders'!D2:D36,"&lt;&gt;Zimbabwe",'Branch Orders'!H2:H36)</f>
        <v/>
      </c>
    </row>
    <row r="11"/>
    <row r="12">
      <c r="A12" s="8" t="inlineStr">
        <is>
          <t>Q5 worked out - your PivotTable should match this:</t>
        </is>
      </c>
    </row>
    <row r="13" ht="20" customHeight="1">
      <c r="A13" s="10" t="inlineStr">
        <is>
          <t>Category</t>
        </is>
      </c>
      <c r="B13" s="10" t="inlineStr">
        <is>
          <t>Total Sales</t>
        </is>
      </c>
      <c r="C13" s="10" t="inlineStr">
        <is>
          <t>Order Count</t>
        </is>
      </c>
    </row>
    <row r="14">
      <c r="A14" t="inlineStr">
        <is>
          <t>Laptop</t>
        </is>
      </c>
      <c r="B14" s="11">
        <f>SUMIF('Branch Orders'!F2:F36,A14,'Branch Orders'!H2:H36)</f>
        <v/>
      </c>
      <c r="C14" s="12">
        <f>COUNTIF('Branch Orders'!F2:F36,A14)</f>
        <v/>
      </c>
    </row>
    <row r="15">
      <c r="A15" t="inlineStr">
        <is>
          <t>Smartphone</t>
        </is>
      </c>
      <c r="B15" s="11">
        <f>SUMIF('Branch Orders'!F2:F36,A15,'Branch Orders'!H2:H36)</f>
        <v/>
      </c>
      <c r="C15" s="12">
        <f>COUNTIF('Branch Orders'!F2:F36,A15)</f>
        <v/>
      </c>
    </row>
    <row r="16">
      <c r="A16" t="inlineStr">
        <is>
          <t>Tablet</t>
        </is>
      </c>
      <c r="B16" s="11">
        <f>SUMIF('Branch Orders'!F2:F36,A16,'Branch Orders'!H2:H36)</f>
        <v/>
      </c>
      <c r="C16" s="12">
        <f>COUNTIF('Branch Orders'!F2:F36,A16)</f>
        <v/>
      </c>
    </row>
    <row r="17">
      <c r="A17" t="inlineStr">
        <is>
          <t>Accessory</t>
        </is>
      </c>
      <c r="B17" s="11">
        <f>SUMIF('Branch Orders'!F2:F36,A17,'Branch Orders'!H2:H36)</f>
        <v/>
      </c>
      <c r="C17" s="12">
        <f>COUNTIF('Branch Orders'!F2:F36,A17)</f>
        <v/>
      </c>
    </row>
    <row r="18">
      <c r="A18" t="inlineStr">
        <is>
          <t>Smart Home</t>
        </is>
      </c>
      <c r="B18" s="11">
        <f>SUMIF('Branch Orders'!F2:F36,A18,'Branch Orders'!H2:H36)</f>
        <v/>
      </c>
      <c r="C18" s="12">
        <f>COUNTIF('Branch Orders'!F2:F36,A18)</f>
        <v/>
      </c>
    </row>
    <row r="19">
      <c r="A19" s="8" t="inlineStr">
        <is>
          <t>Total</t>
        </is>
      </c>
      <c r="B19" s="13">
        <f>SUM(B14:B18)</f>
        <v/>
      </c>
      <c r="C19" s="14">
        <f>SUM(C14:C18)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2026-07-20T20:42:16Z</dcterms:created>
  <dcterms:modified xsi:type="dcterms:W3CDTF">2026-07-20T20:42:16Z</dcterms:modified>
</cp:coreProperties>
</file>