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3" fillId="0" borderId="1" pivotButton="0" quotePrefix="0" xfId="0"/>
    <xf numFmtId="166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14.5" customWidth="1" min="4" max="4"/>
    <col width="22.5" customWidth="1" min="5" max="5"/>
    <col width="12.5" customWidth="1" min="6" max="6"/>
    <col width="10.5" customWidth="1" min="7" max="7"/>
    <col width="9" customWidth="1" min="8" max="8"/>
    <col width="42" customWidth="1" min="9" max="9"/>
    <col width="21.5" customWidth="1" min="11" max="11"/>
    <col width="34.5" customWidth="1" min="12" max="12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  <c r="I1" s="1" t="inlineStr">
        <is>
          <t>Order Size</t>
        </is>
      </c>
      <c r="K1" s="2" t="inlineStr">
        <is>
          <t>Summary Statistics</t>
        </is>
      </c>
    </row>
    <row r="2">
      <c r="A2" t="inlineStr">
        <is>
          <t>O0001</t>
        </is>
      </c>
      <c r="B2" s="3" t="n">
        <v>46039</v>
      </c>
      <c r="C2" t="inlineStr">
        <is>
          <t>Amara Otieno</t>
        </is>
      </c>
      <c r="D2" t="inlineStr">
        <is>
          <t>Kenya</t>
        </is>
      </c>
      <c r="E2" t="inlineStr">
        <is>
          <t>iPhone 16</t>
        </is>
      </c>
      <c r="F2" t="inlineStr">
        <is>
          <t>Smartphone</t>
        </is>
      </c>
      <c r="G2" s="4" t="n">
        <v>1</v>
      </c>
      <c r="H2" s="5" t="n">
        <v>1000</v>
      </c>
      <c r="I2">
        <f>IF(H2&gt;=1000,"Large",IF(H2&gt;=300,"Medium","Small"))</f>
        <v/>
      </c>
      <c r="K2" s="6" t="inlineStr">
        <is>
          <t>Total Sales</t>
        </is>
      </c>
      <c r="L2" s="7">
        <f>SUM(H2:H21)</f>
        <v/>
      </c>
    </row>
    <row r="3">
      <c r="A3" t="inlineStr">
        <is>
          <t>O0002</t>
        </is>
      </c>
      <c r="B3" s="3" t="n">
        <v>45991</v>
      </c>
      <c r="C3" t="inlineStr">
        <is>
          <t>Chipo Marufu</t>
        </is>
      </c>
      <c r="D3" t="inlineStr">
        <is>
          <t>Zimbabwe</t>
        </is>
      </c>
      <c r="E3" t="inlineStr">
        <is>
          <t>Bluetooth Headphones</t>
        </is>
      </c>
      <c r="F3" t="inlineStr">
        <is>
          <t>Accessory</t>
        </is>
      </c>
      <c r="G3" s="4" t="n">
        <v>1</v>
      </c>
      <c r="H3" s="5" t="n">
        <v>120</v>
      </c>
      <c r="I3">
        <f>IF(H3&gt;=1000,"Large",IF(H3&gt;=300,"Medium","Small"))</f>
        <v/>
      </c>
      <c r="K3" s="6" t="inlineStr">
        <is>
          <t>Average Order Value</t>
        </is>
      </c>
      <c r="L3" s="7">
        <f>AVERAGE(H2:H21)</f>
        <v/>
      </c>
    </row>
    <row r="4">
      <c r="A4" t="inlineStr">
        <is>
          <t>O0003</t>
        </is>
      </c>
      <c r="B4" s="3" t="n">
        <v>45481</v>
      </c>
      <c r="C4" t="inlineStr">
        <is>
          <t>Tendai Moyo</t>
        </is>
      </c>
      <c r="D4" t="inlineStr">
        <is>
          <t>Zimbabwe</t>
        </is>
      </c>
      <c r="E4" t="inlineStr">
        <is>
          <t>Dell XPS 15</t>
        </is>
      </c>
      <c r="F4" t="inlineStr">
        <is>
          <t>Laptop</t>
        </is>
      </c>
      <c r="G4" s="4" t="n">
        <v>1</v>
      </c>
      <c r="H4" s="5" t="n">
        <v>1500</v>
      </c>
      <c r="I4">
        <f>IF(H4&gt;=1000,"Large",IF(H4&gt;=300,"Medium","Small"))</f>
        <v/>
      </c>
      <c r="K4" s="6" t="inlineStr">
        <is>
          <t>Largest Order</t>
        </is>
      </c>
      <c r="L4" s="7">
        <f>MAX(H2:H21)</f>
        <v/>
      </c>
    </row>
    <row r="5">
      <c r="A5" t="inlineStr">
        <is>
          <t>O0004</t>
        </is>
      </c>
      <c r="B5" s="3" t="n">
        <v>46249</v>
      </c>
      <c r="C5" t="inlineStr">
        <is>
          <t>Kudzai Sibanda</t>
        </is>
      </c>
      <c r="D5" t="inlineStr">
        <is>
          <t>Zimbabwe</t>
        </is>
      </c>
      <c r="E5" t="inlineStr">
        <is>
          <t>ThinkPad X1</t>
        </is>
      </c>
      <c r="F5" t="inlineStr">
        <is>
          <t>Laptop</t>
        </is>
      </c>
      <c r="G5" s="4" t="n">
        <v>2</v>
      </c>
      <c r="H5" s="5" t="n">
        <v>2800</v>
      </c>
      <c r="I5">
        <f>IF(H5&gt;=1000,"Large",IF(H5&gt;=300,"Medium","Small"))</f>
        <v/>
      </c>
      <c r="K5" s="6" t="inlineStr">
        <is>
          <t>Smallest Order</t>
        </is>
      </c>
      <c r="L5" s="7">
        <f>MIN(H2:H21)</f>
        <v/>
      </c>
    </row>
    <row r="6">
      <c r="A6" t="inlineStr">
        <is>
          <t>O0005</t>
        </is>
      </c>
      <c r="B6" s="3" t="n">
        <v>46123</v>
      </c>
      <c r="C6" t="inlineStr">
        <is>
          <t>Chipo Marufu</t>
        </is>
      </c>
      <c r="D6" t="inlineStr">
        <is>
          <t>Zimbabwe</t>
        </is>
      </c>
      <c r="E6" t="inlineStr">
        <is>
          <t>iPad Air 6</t>
        </is>
      </c>
      <c r="F6" t="inlineStr">
        <is>
          <t>Tablet</t>
        </is>
      </c>
      <c r="G6" s="4" t="n">
        <v>1</v>
      </c>
      <c r="H6" s="5" t="n">
        <v>700</v>
      </c>
      <c r="I6">
        <f>IF(H6&gt;=1000,"Large",IF(H6&gt;=300,"Medium","Small"))</f>
        <v/>
      </c>
      <c r="K6" s="6" t="inlineStr">
        <is>
          <t>Number of Orders</t>
        </is>
      </c>
      <c r="L6" s="8">
        <f>COUNT(H2:H21)</f>
        <v/>
      </c>
    </row>
    <row r="7">
      <c r="A7" t="inlineStr">
        <is>
          <t>O0006</t>
        </is>
      </c>
      <c r="B7" s="3" t="n">
        <v>45694</v>
      </c>
      <c r="C7" t="inlineStr">
        <is>
          <t>Simbarashe Mutasa</t>
        </is>
      </c>
      <c r="D7" t="inlineStr">
        <is>
          <t>Zimbabwe</t>
        </is>
      </c>
      <c r="E7" t="inlineStr">
        <is>
          <t>Ring Doorbell Pro</t>
        </is>
      </c>
      <c r="F7" t="inlineStr">
        <is>
          <t>Smart Home</t>
        </is>
      </c>
      <c r="G7" s="4" t="n">
        <v>2</v>
      </c>
      <c r="H7" s="5" t="n">
        <v>400</v>
      </c>
      <c r="I7">
        <f>IF(H7&gt;=1000,"Large",IF(H7&gt;=300,"Medium","Small"))</f>
        <v/>
      </c>
      <c r="K7" s="6" t="inlineStr">
        <is>
          <t>Total Units Sold</t>
        </is>
      </c>
      <c r="L7" s="8">
        <f>SUM(G2:G21)</f>
        <v/>
      </c>
    </row>
    <row r="8">
      <c r="A8" t="inlineStr">
        <is>
          <t>O0007</t>
        </is>
      </c>
      <c r="B8" s="3" t="n">
        <v>45922</v>
      </c>
      <c r="C8" t="inlineStr">
        <is>
          <t>Rutendo Chikafu</t>
        </is>
      </c>
      <c r="D8" t="inlineStr">
        <is>
          <t>Zimbabwe</t>
        </is>
      </c>
      <c r="E8" t="inlineStr">
        <is>
          <t>Galaxy S24</t>
        </is>
      </c>
      <c r="F8" t="inlineStr">
        <is>
          <t>Smartphone</t>
        </is>
      </c>
      <c r="G8" s="4" t="n">
        <v>1</v>
      </c>
      <c r="H8" s="5" t="n">
        <v>800</v>
      </c>
      <c r="I8">
        <f>IF(H8&gt;=1000,"Large",IF(H8&gt;=300,"Medium","Small"))</f>
        <v/>
      </c>
      <c r="K8" s="6" t="inlineStr">
        <is>
          <t>Laptop Orders</t>
        </is>
      </c>
      <c r="L8" s="8">
        <f>COUNTIF(F2:F21,"Laptop")</f>
        <v/>
      </c>
    </row>
    <row r="9">
      <c r="A9" t="inlineStr">
        <is>
          <t>O0008</t>
        </is>
      </c>
      <c r="B9" s="3" t="n">
        <v>45533</v>
      </c>
      <c r="C9" t="inlineStr">
        <is>
          <t>Chanda Phiri</t>
        </is>
      </c>
      <c r="D9" t="inlineStr">
        <is>
          <t>Zambia</t>
        </is>
      </c>
      <c r="E9" t="inlineStr">
        <is>
          <t>MacBook Air M4</t>
        </is>
      </c>
      <c r="F9" t="inlineStr">
        <is>
          <t>Laptop</t>
        </is>
      </c>
      <c r="G9" s="4" t="n">
        <v>1</v>
      </c>
      <c r="H9" s="5" t="n">
        <v>1000</v>
      </c>
      <c r="I9">
        <f>IF(H9&gt;=1000,"Large",IF(H9&gt;=300,"Medium","Small"))</f>
        <v/>
      </c>
      <c r="K9" s="6" t="inlineStr">
        <is>
          <t>Laptop Sales</t>
        </is>
      </c>
      <c r="L9" s="7">
        <f>SUMIF(F2:F21,"Laptop",H2:H21)</f>
        <v/>
      </c>
    </row>
    <row r="10">
      <c r="A10" t="inlineStr">
        <is>
          <t>O0009</t>
        </is>
      </c>
      <c r="B10" s="3" t="n">
        <v>46084</v>
      </c>
      <c r="C10" t="inlineStr">
        <is>
          <t>Nyasha Banda</t>
        </is>
      </c>
      <c r="D10" t="inlineStr">
        <is>
          <t>Zimbabwe</t>
        </is>
      </c>
      <c r="E10" t="inlineStr">
        <is>
          <t>USB-C Hub 7in1</t>
        </is>
      </c>
      <c r="F10" t="inlineStr">
        <is>
          <t>Accessory</t>
        </is>
      </c>
      <c r="G10" s="4" t="n">
        <v>2</v>
      </c>
      <c r="H10" s="5" t="n">
        <v>160</v>
      </c>
      <c r="I10">
        <f>IF(H10&gt;=1000,"Large",IF(H10&gt;=300,"Medium","Small"))</f>
        <v/>
      </c>
      <c r="K10" s="6" t="inlineStr">
        <is>
          <t>Large Orders</t>
        </is>
      </c>
      <c r="L10" s="8">
        <f>COUNTIF(I2:I21,"Large")</f>
        <v/>
      </c>
    </row>
    <row r="11">
      <c r="A11" t="inlineStr">
        <is>
          <t>O0010</t>
        </is>
      </c>
      <c r="B11" s="3" t="n">
        <v>45796</v>
      </c>
      <c r="C11" t="inlineStr">
        <is>
          <t>Farai Ncube</t>
        </is>
      </c>
      <c r="D11" t="inlineStr">
        <is>
          <t>Zimbabwe</t>
        </is>
      </c>
      <c r="E11" t="inlineStr">
        <is>
          <t>Surface Go 4</t>
        </is>
      </c>
      <c r="F11" t="inlineStr">
        <is>
          <t>Tablet</t>
        </is>
      </c>
      <c r="G11" s="4" t="n">
        <v>3</v>
      </c>
      <c r="H11" s="5" t="n">
        <v>1800</v>
      </c>
      <c r="I11">
        <f>IF(H11&gt;=1000,"Large",IF(H11&gt;=300,"Medium","Small"))</f>
        <v/>
      </c>
      <c r="K11" s="6" t="inlineStr">
        <is>
          <t>Zimbabwe Sales</t>
        </is>
      </c>
      <c r="L11" s="7">
        <f>SUMIF(D2:D21,"Zimbabwe",H2:H21)</f>
        <v/>
      </c>
    </row>
    <row r="12">
      <c r="A12" t="inlineStr">
        <is>
          <t>O0011</t>
        </is>
      </c>
      <c r="B12" s="3" t="n">
        <v>46200</v>
      </c>
      <c r="C12" t="inlineStr">
        <is>
          <t>Thabo Nkosi</t>
        </is>
      </c>
      <c r="D12" t="inlineStr">
        <is>
          <t>South Africa</t>
        </is>
      </c>
      <c r="E12" t="inlineStr">
        <is>
          <t>Pixel 9 Pro</t>
        </is>
      </c>
      <c r="F12" t="inlineStr">
        <is>
          <t>Smartphone</t>
        </is>
      </c>
      <c r="G12" s="4" t="n">
        <v>2</v>
      </c>
      <c r="H12" s="5" t="n">
        <v>1800</v>
      </c>
      <c r="I12">
        <f>IF(H12&gt;=1000,"Large",IF(H12&gt;=300,"Medium","Small"))</f>
        <v/>
      </c>
    </row>
    <row r="13">
      <c r="A13" t="inlineStr">
        <is>
          <t>O0012</t>
        </is>
      </c>
      <c r="B13" s="3" t="n">
        <v>45944</v>
      </c>
      <c r="C13" t="inlineStr">
        <is>
          <t>Kagiso Molefe</t>
        </is>
      </c>
      <c r="D13" t="inlineStr">
        <is>
          <t>Botswana</t>
        </is>
      </c>
      <c r="E13" t="inlineStr">
        <is>
          <t>Echo Dot 6</t>
        </is>
      </c>
      <c r="F13" t="inlineStr">
        <is>
          <t>Smart Home</t>
        </is>
      </c>
      <c r="G13" s="4" t="n">
        <v>1</v>
      </c>
      <c r="H13" s="5" t="n">
        <v>100</v>
      </c>
      <c r="I13">
        <f>IF(H13&gt;=1000,"Large",IF(H13&gt;=300,"Medium","Small"))</f>
        <v/>
      </c>
    </row>
    <row r="14">
      <c r="A14" t="inlineStr">
        <is>
          <t>O0013</t>
        </is>
      </c>
      <c r="B14" s="3" t="n">
        <v>46365</v>
      </c>
      <c r="C14" t="inlineStr">
        <is>
          <t>Tatenda Mpofu</t>
        </is>
      </c>
      <c r="D14" t="inlineStr">
        <is>
          <t>Zimbabwe</t>
        </is>
      </c>
      <c r="E14" t="inlineStr">
        <is>
          <t>HP Spectre x360</t>
        </is>
      </c>
      <c r="F14" t="inlineStr">
        <is>
          <t>Laptop</t>
        </is>
      </c>
      <c r="G14" s="4" t="n">
        <v>2</v>
      </c>
      <c r="H14" s="5" t="n">
        <v>2400</v>
      </c>
      <c r="I14">
        <f>IF(H14&gt;=1000,"Large",IF(H14&gt;=300,"Medium","Small"))</f>
        <v/>
      </c>
    </row>
    <row r="15">
      <c r="A15" t="inlineStr">
        <is>
          <t>O0014</t>
        </is>
      </c>
      <c r="B15" s="3" t="n">
        <v>45682</v>
      </c>
      <c r="C15" t="inlineStr">
        <is>
          <t>Amara Otieno</t>
        </is>
      </c>
      <c r="D15" t="inlineStr">
        <is>
          <t>Kenya</t>
        </is>
      </c>
      <c r="E15" t="inlineStr">
        <is>
          <t>Galaxy Tab S10</t>
        </is>
      </c>
      <c r="F15" t="inlineStr">
        <is>
          <t>Tablet</t>
        </is>
      </c>
      <c r="G15" s="4" t="n">
        <v>1</v>
      </c>
      <c r="H15" s="5" t="n">
        <v>500</v>
      </c>
      <c r="I15">
        <f>IF(H15&gt;=1000,"Large",IF(H15&gt;=300,"Medium","Small"))</f>
        <v/>
      </c>
    </row>
    <row r="16">
      <c r="A16" t="inlineStr">
        <is>
          <t>O0015</t>
        </is>
      </c>
      <c r="B16" s="3" t="n">
        <v>46210</v>
      </c>
      <c r="C16" t="inlineStr">
        <is>
          <t>Tendai Moyo</t>
        </is>
      </c>
      <c r="D16" t="inlineStr">
        <is>
          <t>Zimbabwe</t>
        </is>
      </c>
      <c r="E16" t="inlineStr">
        <is>
          <t>Wireless Mouse Pro</t>
        </is>
      </c>
      <c r="F16" t="inlineStr">
        <is>
          <t>Accessory</t>
        </is>
      </c>
      <c r="G16" s="4" t="n">
        <v>1</v>
      </c>
      <c r="H16" s="5" t="n">
        <v>60</v>
      </c>
      <c r="I16">
        <f>IF(H16&gt;=1000,"Large",IF(H16&gt;=300,"Medium","Small"))</f>
        <v/>
      </c>
    </row>
    <row r="17">
      <c r="A17" t="inlineStr">
        <is>
          <t>O0016</t>
        </is>
      </c>
      <c r="B17" s="3" t="n">
        <v>45734</v>
      </c>
      <c r="C17" t="inlineStr">
        <is>
          <t>Kudzai Sibanda</t>
        </is>
      </c>
      <c r="D17" t="inlineStr">
        <is>
          <t>Zimbabwe</t>
        </is>
      </c>
      <c r="E17" t="inlineStr">
        <is>
          <t>OnePlus 13</t>
        </is>
      </c>
      <c r="F17" t="inlineStr">
        <is>
          <t>Smartphone</t>
        </is>
      </c>
      <c r="G17" s="4" t="n">
        <v>1</v>
      </c>
      <c r="H17" s="5" t="n">
        <v>600</v>
      </c>
      <c r="I17">
        <f>IF(H17&gt;=1000,"Large",IF(H17&gt;=300,"Medium","Small"))</f>
        <v/>
      </c>
    </row>
    <row r="18">
      <c r="A18" t="inlineStr">
        <is>
          <t>O0017</t>
        </is>
      </c>
      <c r="B18" s="3" t="n">
        <v>46347</v>
      </c>
      <c r="C18" t="inlineStr">
        <is>
          <t>Chanda Phiri</t>
        </is>
      </c>
      <c r="D18" t="inlineStr">
        <is>
          <t>Zambia</t>
        </is>
      </c>
      <c r="E18" t="inlineStr">
        <is>
          <t>Google Nest Hub 3</t>
        </is>
      </c>
      <c r="F18" t="inlineStr">
        <is>
          <t>Smart Home</t>
        </is>
      </c>
      <c r="G18" s="4" t="n">
        <v>1</v>
      </c>
      <c r="H18" s="5" t="n">
        <v>150</v>
      </c>
      <c r="I18">
        <f>IF(H18&gt;=1000,"Large",IF(H18&gt;=300,"Medium","Small"))</f>
        <v/>
      </c>
    </row>
    <row r="19">
      <c r="A19" t="inlineStr">
        <is>
          <t>O0018</t>
        </is>
      </c>
      <c r="B19" s="3" t="n">
        <v>45902</v>
      </c>
      <c r="C19" t="inlineStr">
        <is>
          <t>Rutendo Chikafu</t>
        </is>
      </c>
      <c r="D19" t="inlineStr">
        <is>
          <t>Zimbabwe</t>
        </is>
      </c>
      <c r="E19" t="inlineStr">
        <is>
          <t>Laptop Sleeve 15in</t>
        </is>
      </c>
      <c r="F19" t="inlineStr">
        <is>
          <t>Accessory</t>
        </is>
      </c>
      <c r="G19" s="4" t="n">
        <v>3</v>
      </c>
      <c r="H19" s="5" t="n">
        <v>150</v>
      </c>
      <c r="I19">
        <f>IF(H19&gt;=1000,"Large",IF(H19&gt;=300,"Medium","Small"))</f>
        <v/>
      </c>
    </row>
    <row r="20">
      <c r="A20" t="inlineStr">
        <is>
          <t>O0019</t>
        </is>
      </c>
      <c r="B20" s="3" t="n">
        <v>46065</v>
      </c>
      <c r="C20" t="inlineStr">
        <is>
          <t>Nyasha Banda</t>
        </is>
      </c>
      <c r="D20" t="inlineStr">
        <is>
          <t>Zimbabwe</t>
        </is>
      </c>
      <c r="E20" t="inlineStr">
        <is>
          <t>iPad Air 6</t>
        </is>
      </c>
      <c r="F20" t="inlineStr">
        <is>
          <t>Tablet</t>
        </is>
      </c>
      <c r="G20" s="4" t="n">
        <v>2</v>
      </c>
      <c r="H20" s="5" t="n">
        <v>1400</v>
      </c>
      <c r="I20">
        <f>IF(H20&gt;=1000,"Large",IF(H20&gt;=300,"Medium","Small"))</f>
        <v/>
      </c>
    </row>
    <row r="21">
      <c r="A21" t="inlineStr">
        <is>
          <t>O0020</t>
        </is>
      </c>
      <c r="B21" s="3" t="n">
        <v>45824</v>
      </c>
      <c r="C21" t="inlineStr">
        <is>
          <t>Farai Ncube</t>
        </is>
      </c>
      <c r="D21" t="inlineStr">
        <is>
          <t>Zimbabwe</t>
        </is>
      </c>
      <c r="E21" t="inlineStr">
        <is>
          <t>Ring Doorbell Pro</t>
        </is>
      </c>
      <c r="F21" t="inlineStr">
        <is>
          <t>Smart Home</t>
        </is>
      </c>
      <c r="G21" s="4" t="n">
        <v>1</v>
      </c>
      <c r="H21" s="5" t="n">
        <v>200</v>
      </c>
      <c r="I21">
        <f>IF(H21&gt;=1000,"Large",IF(H21&gt;=300,"Medium","Small"))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2026-07-21T05:17:15Z</dcterms:created>
  <dcterms:modified xsi:type="dcterms:W3CDTF">2026-07-21T05:17:15Z</dcterms:modified>
</cp:coreProperties>
</file>