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3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9" customWidth="1" min="8" max="8"/>
    <col width="42" customWidth="1" min="9" max="9"/>
    <col width="21.5" customWidth="1" min="11" max="11"/>
    <col width="34.5" customWidth="1" min="12" max="12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  <c r="K1" s="2" t="inlineStr">
        <is>
          <t>Summary Statistics</t>
        </is>
      </c>
    </row>
    <row r="2">
      <c r="A2" t="inlineStr">
        <is>
          <t>O0001</t>
        </is>
      </c>
      <c r="B2" s="3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s="4" t="n">
        <v>1</v>
      </c>
      <c r="H2" s="5" t="n">
        <v>1000</v>
      </c>
      <c r="I2">
        <f>IF(H2&gt;=1000,"Large",IF(H2&gt;=300,"Medium","Small"))</f>
        <v/>
      </c>
      <c r="K2" s="6" t="inlineStr">
        <is>
          <t>Total Sales</t>
        </is>
      </c>
      <c r="L2" s="7">
        <f>SUM(H2:H31)</f>
        <v/>
      </c>
    </row>
    <row r="3">
      <c r="A3" t="inlineStr">
        <is>
          <t>O0002</t>
        </is>
      </c>
      <c r="B3" s="3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s="4" t="n">
        <v>1</v>
      </c>
      <c r="H3" s="5" t="n">
        <v>119.7</v>
      </c>
      <c r="I3">
        <f>IF(H3&gt;=1000,"Large",IF(H3&gt;=300,"Medium","Small"))</f>
        <v/>
      </c>
      <c r="K3" s="6" t="inlineStr">
        <is>
          <t>Average Order Value</t>
        </is>
      </c>
      <c r="L3" s="7">
        <f>AVERAGE(H2:H31)</f>
        <v/>
      </c>
    </row>
    <row r="4">
      <c r="A4" t="inlineStr">
        <is>
          <t>O0003</t>
        </is>
      </c>
      <c r="B4" s="3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s="4" t="n">
        <v>2</v>
      </c>
      <c r="H4" s="5" t="n">
        <v>3332</v>
      </c>
      <c r="I4">
        <f>IF(H4&gt;=1000,"Large",IF(H4&gt;=300,"Medium","Small"))</f>
        <v/>
      </c>
      <c r="K4" s="6" t="inlineStr">
        <is>
          <t>Largest Order</t>
        </is>
      </c>
      <c r="L4" s="7">
        <f>MAX(H2:H31)</f>
        <v/>
      </c>
    </row>
    <row r="5">
      <c r="A5" t="inlineStr">
        <is>
          <t>O0004</t>
        </is>
      </c>
      <c r="B5" s="3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s="4" t="n">
        <v>1</v>
      </c>
      <c r="H5" s="5" t="n">
        <v>1454.4</v>
      </c>
      <c r="I5">
        <f>IF(H5&gt;=1000,"Large",IF(H5&gt;=300,"Medium","Small"))</f>
        <v/>
      </c>
      <c r="K5" s="6" t="inlineStr">
        <is>
          <t>Smallest Order</t>
        </is>
      </c>
      <c r="L5" s="7">
        <f>MIN(H2:H31)</f>
        <v/>
      </c>
    </row>
    <row r="6">
      <c r="A6" t="inlineStr">
        <is>
          <t>O0005</t>
        </is>
      </c>
      <c r="B6" s="3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OnePlus 13</t>
        </is>
      </c>
      <c r="F6" t="inlineStr">
        <is>
          <t>Smartphone</t>
        </is>
      </c>
      <c r="G6" s="4" t="n">
        <v>1</v>
      </c>
      <c r="H6" s="5" t="n">
        <v>806</v>
      </c>
      <c r="I6">
        <f>IF(H6&gt;=1000,"Large",IF(H6&gt;=300,"Medium","Small"))</f>
        <v/>
      </c>
      <c r="K6" s="6" t="inlineStr">
        <is>
          <t>Number of Orders</t>
        </is>
      </c>
      <c r="L6" s="8">
        <f>COUNT(H2:H31)</f>
        <v/>
      </c>
    </row>
    <row r="7">
      <c r="A7" t="inlineStr">
        <is>
          <t>O0006</t>
        </is>
      </c>
      <c r="B7" s="3" t="n">
        <v>45938</v>
      </c>
      <c r="C7" t="inlineStr">
        <is>
          <t>Amara Otieno</t>
        </is>
      </c>
      <c r="D7" t="inlineStr">
        <is>
          <t>Kenya</t>
        </is>
      </c>
      <c r="E7" t="inlineStr">
        <is>
          <t>Galaxy S24</t>
        </is>
      </c>
      <c r="F7" t="inlineStr">
        <is>
          <t>Smartphone</t>
        </is>
      </c>
      <c r="G7" s="4" t="n">
        <v>2</v>
      </c>
      <c r="H7" s="5" t="n">
        <v>1656</v>
      </c>
      <c r="I7">
        <f>IF(H7&gt;=1000,"Large",IF(H7&gt;=300,"Medium","Small"))</f>
        <v/>
      </c>
      <c r="K7" s="6" t="inlineStr">
        <is>
          <t>Total Units Sold</t>
        </is>
      </c>
      <c r="L7" s="8">
        <f>SUM(G2:G31)</f>
        <v/>
      </c>
    </row>
    <row r="8">
      <c r="A8" t="inlineStr">
        <is>
          <t>O0007</t>
        </is>
      </c>
      <c r="B8" s="3" t="n">
        <v>45458</v>
      </c>
      <c r="C8" t="inlineStr">
        <is>
          <t>Chanda Phiri</t>
        </is>
      </c>
      <c r="D8" t="inlineStr">
        <is>
          <t>Zambia</t>
        </is>
      </c>
      <c r="E8" t="inlineStr">
        <is>
          <t>Echo Dot 6</t>
        </is>
      </c>
      <c r="F8" t="inlineStr">
        <is>
          <t>Smart Home</t>
        </is>
      </c>
      <c r="G8" s="4" t="n">
        <v>3</v>
      </c>
      <c r="H8" s="5" t="n">
        <v>326.25</v>
      </c>
      <c r="I8">
        <f>IF(H8&gt;=1000,"Large",IF(H8&gt;=300,"Medium","Small"))</f>
        <v/>
      </c>
      <c r="K8" s="6" t="inlineStr">
        <is>
          <t>Laptop Orders</t>
        </is>
      </c>
      <c r="L8" s="8">
        <f>COUNTIF(F2:F31,"Laptop")</f>
        <v/>
      </c>
    </row>
    <row r="9">
      <c r="A9" t="inlineStr">
        <is>
          <t>O0008</t>
        </is>
      </c>
      <c r="B9" s="3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s="4" t="n">
        <v>1</v>
      </c>
      <c r="H9" s="5" t="n">
        <v>779.2</v>
      </c>
      <c r="I9">
        <f>IF(H9&gt;=1000,"Large",IF(H9&gt;=300,"Medium","Small"))</f>
        <v/>
      </c>
      <c r="K9" s="6" t="inlineStr">
        <is>
          <t>Laptop Sales</t>
        </is>
      </c>
      <c r="L9" s="7">
        <f>SUMIF(F2:F31,"Laptop",H2:H31)</f>
        <v/>
      </c>
    </row>
    <row r="10">
      <c r="A10" t="inlineStr">
        <is>
          <t>O0009</t>
        </is>
      </c>
      <c r="B10" s="3" t="n">
        <v>45856</v>
      </c>
      <c r="C10" t="inlineStr">
        <is>
          <t>Chipo Marufu</t>
        </is>
      </c>
      <c r="D10" t="inlineStr">
        <is>
          <t>Zimbabwe</t>
        </is>
      </c>
      <c r="E10" t="inlineStr">
        <is>
          <t>Surface Go 4</t>
        </is>
      </c>
      <c r="F10" t="inlineStr">
        <is>
          <t>Tablet</t>
        </is>
      </c>
      <c r="G10" s="4" t="n">
        <v>1</v>
      </c>
      <c r="H10" s="5" t="n">
        <v>587.2</v>
      </c>
      <c r="I10">
        <f>IF(H10&gt;=1000,"Large",IF(H10&gt;=300,"Medium","Small"))</f>
        <v/>
      </c>
      <c r="K10" s="6" t="inlineStr">
        <is>
          <t>Large Orders</t>
        </is>
      </c>
      <c r="L10" s="8">
        <f>COUNTIF(I2:I31,"Large")</f>
        <v/>
      </c>
    </row>
    <row r="11">
      <c r="A11" t="inlineStr">
        <is>
          <t>O0010</t>
        </is>
      </c>
      <c r="B11" s="3" t="n">
        <v>45383</v>
      </c>
      <c r="C11" t="inlineStr">
        <is>
          <t>Nyasha Banda</t>
        </is>
      </c>
      <c r="D11" t="inlineStr">
        <is>
          <t>Zimbabwe</t>
        </is>
      </c>
      <c r="E11" t="inlineStr">
        <is>
          <t>HP Spectre x360</t>
        </is>
      </c>
      <c r="F11" t="inlineStr">
        <is>
          <t>Laptop</t>
        </is>
      </c>
      <c r="G11" s="4" t="n">
        <v>1</v>
      </c>
      <c r="H11" s="5" t="n">
        <v>801.6</v>
      </c>
      <c r="I11">
        <f>IF(H11&gt;=1000,"Large",IF(H11&gt;=300,"Medium","Small"))</f>
        <v/>
      </c>
      <c r="K11" s="6" t="inlineStr">
        <is>
          <t>Zimbabwe Sales</t>
        </is>
      </c>
      <c r="L11" s="7">
        <f>SUMIF(D2:D31,"Zimbabwe",H2:H31)</f>
        <v/>
      </c>
    </row>
    <row r="12">
      <c r="A12" t="inlineStr">
        <is>
          <t>O0011</t>
        </is>
      </c>
      <c r="B12" s="3" t="n">
        <v>46317</v>
      </c>
      <c r="C12" t="inlineStr">
        <is>
          <t>Kudzai Sibanda</t>
        </is>
      </c>
      <c r="D12" t="inlineStr">
        <is>
          <t>Zimbabwe</t>
        </is>
      </c>
      <c r="E12" t="inlineStr">
        <is>
          <t>ThinkPad X1</t>
        </is>
      </c>
      <c r="F12" t="inlineStr">
        <is>
          <t>Laptop</t>
        </is>
      </c>
      <c r="G12" s="4" t="n">
        <v>1</v>
      </c>
      <c r="H12" s="5" t="n">
        <v>1663</v>
      </c>
      <c r="I12">
        <f>IF(H12&gt;=1000,"Large",IF(H12&gt;=300,"Medium","Small"))</f>
        <v/>
      </c>
    </row>
    <row r="13">
      <c r="A13" t="inlineStr">
        <is>
          <t>O0012</t>
        </is>
      </c>
      <c r="B13" s="3" t="n">
        <v>45857</v>
      </c>
      <c r="C13" t="inlineStr">
        <is>
          <t>Tendai Moyo</t>
        </is>
      </c>
      <c r="D13" t="inlineStr">
        <is>
          <t>Zimbabwe</t>
        </is>
      </c>
      <c r="E13" t="inlineStr">
        <is>
          <t>Surface Go 4</t>
        </is>
      </c>
      <c r="F13" t="inlineStr">
        <is>
          <t>Tablet</t>
        </is>
      </c>
      <c r="G13" s="4" t="n">
        <v>1</v>
      </c>
      <c r="H13" s="5" t="n">
        <v>1037</v>
      </c>
      <c r="I13">
        <f>IF(H13&gt;=1000,"Large",IF(H13&gt;=300,"Medium","Small"))</f>
        <v/>
      </c>
    </row>
    <row r="14">
      <c r="A14" t="inlineStr">
        <is>
          <t>O0013</t>
        </is>
      </c>
      <c r="B14" s="3" t="n">
        <v>45994</v>
      </c>
      <c r="C14" t="inlineStr">
        <is>
          <t>Chipo Marufu</t>
        </is>
      </c>
      <c r="D14" t="inlineStr">
        <is>
          <t>Zimbabwe</t>
        </is>
      </c>
      <c r="E14" t="inlineStr">
        <is>
          <t>Galaxy S24</t>
        </is>
      </c>
      <c r="F14" t="inlineStr">
        <is>
          <t>Smartphone</t>
        </is>
      </c>
      <c r="G14" s="4" t="n">
        <v>1</v>
      </c>
      <c r="H14" s="5" t="n">
        <v>724</v>
      </c>
      <c r="I14">
        <f>IF(H14&gt;=1000,"Large",IF(H14&gt;=300,"Medium","Small"))</f>
        <v/>
      </c>
    </row>
    <row r="15">
      <c r="A15" t="inlineStr">
        <is>
          <t>O0014</t>
        </is>
      </c>
      <c r="B15" s="3" t="n">
        <v>45453</v>
      </c>
      <c r="C15" t="inlineStr">
        <is>
          <t>Nyasha Banda</t>
        </is>
      </c>
      <c r="D15" t="inlineStr">
        <is>
          <t>Zimbabwe</t>
        </is>
      </c>
      <c r="E15" t="inlineStr">
        <is>
          <t>Echo Dot 6</t>
        </is>
      </c>
      <c r="F15" t="inlineStr">
        <is>
          <t>Smart Home</t>
        </is>
      </c>
      <c r="G15" s="4" t="n">
        <v>1</v>
      </c>
      <c r="H15" s="5" t="n">
        <v>177</v>
      </c>
      <c r="I15">
        <f>IF(H15&gt;=1000,"Large",IF(H15&gt;=300,"Medium","Small"))</f>
        <v/>
      </c>
    </row>
    <row r="16">
      <c r="A16" t="inlineStr">
        <is>
          <t>O0015</t>
        </is>
      </c>
      <c r="B16" s="3" t="n">
        <v>46287</v>
      </c>
      <c r="C16" t="inlineStr">
        <is>
          <t>Chanda Phiri</t>
        </is>
      </c>
      <c r="D16" t="inlineStr">
        <is>
          <t>Zambia</t>
        </is>
      </c>
      <c r="E16" t="inlineStr">
        <is>
          <t>Galaxy S24</t>
        </is>
      </c>
      <c r="F16" t="inlineStr">
        <is>
          <t>Smartphone</t>
        </is>
      </c>
      <c r="G16" s="4" t="n">
        <v>1</v>
      </c>
      <c r="H16" s="5" t="n">
        <v>653.8</v>
      </c>
      <c r="I16">
        <f>IF(H16&gt;=1000,"Large",IF(H16&gt;=300,"Medium","Small"))</f>
        <v/>
      </c>
    </row>
    <row r="17">
      <c r="A17" t="inlineStr">
        <is>
          <t>O0016</t>
        </is>
      </c>
      <c r="B17" s="3" t="n">
        <v>46107</v>
      </c>
      <c r="C17" t="inlineStr">
        <is>
          <t>Chanda Phiri</t>
        </is>
      </c>
      <c r="D17" t="inlineStr">
        <is>
          <t>Zambia</t>
        </is>
      </c>
      <c r="E17" t="inlineStr">
        <is>
          <t>ThinkPad X1</t>
        </is>
      </c>
      <c r="F17" t="inlineStr">
        <is>
          <t>Laptop</t>
        </is>
      </c>
      <c r="G17" s="4" t="n">
        <v>1</v>
      </c>
      <c r="H17" s="5" t="n">
        <v>1758</v>
      </c>
      <c r="I17">
        <f>IF(H17&gt;=1000,"Large",IF(H17&gt;=300,"Medium","Small"))</f>
        <v/>
      </c>
    </row>
    <row r="18">
      <c r="A18" t="inlineStr">
        <is>
          <t>O0017</t>
        </is>
      </c>
      <c r="B18" s="3" t="n">
        <v>46011</v>
      </c>
      <c r="C18" t="inlineStr">
        <is>
          <t>Tatenda Mpofu</t>
        </is>
      </c>
      <c r="D18" t="inlineStr">
        <is>
          <t>Zimbabwe</t>
        </is>
      </c>
      <c r="E18" t="inlineStr">
        <is>
          <t>Bluetooth Headphones</t>
        </is>
      </c>
      <c r="F18" t="inlineStr">
        <is>
          <t>Accessory</t>
        </is>
      </c>
      <c r="G18" s="4" t="n">
        <v>1</v>
      </c>
      <c r="H18" s="5" t="n">
        <v>56.1</v>
      </c>
      <c r="I18">
        <f>IF(H18&gt;=1000,"Large",IF(H18&gt;=300,"Medium","Small"))</f>
        <v/>
      </c>
    </row>
    <row r="19">
      <c r="A19" t="inlineStr">
        <is>
          <t>O0018</t>
        </is>
      </c>
      <c r="B19" s="3" t="n">
        <v>45508</v>
      </c>
      <c r="C19" t="inlineStr">
        <is>
          <t>Chipo Marufu</t>
        </is>
      </c>
      <c r="D19" t="inlineStr">
        <is>
          <t>Zimbabwe</t>
        </is>
      </c>
      <c r="E19" t="inlineStr">
        <is>
          <t>ThinkPad X1</t>
        </is>
      </c>
      <c r="F19" t="inlineStr">
        <is>
          <t>Laptop</t>
        </is>
      </c>
      <c r="G19" s="4" t="n">
        <v>1</v>
      </c>
      <c r="H19" s="5" t="n">
        <v>1148</v>
      </c>
      <c r="I19">
        <f>IF(H19&gt;=1000,"Large",IF(H19&gt;=300,"Medium","Small"))</f>
        <v/>
      </c>
    </row>
    <row r="20">
      <c r="A20" t="inlineStr">
        <is>
          <t>O0019</t>
        </is>
      </c>
      <c r="B20" s="3" t="n">
        <v>45671</v>
      </c>
      <c r="C20" t="inlineStr">
        <is>
          <t>Kudzai Sibanda</t>
        </is>
      </c>
      <c r="D20" t="inlineStr">
        <is>
          <t>Zimbabwe</t>
        </is>
      </c>
      <c r="E20" t="inlineStr">
        <is>
          <t>ThinkPad X1</t>
        </is>
      </c>
      <c r="F20" t="inlineStr">
        <is>
          <t>Laptop</t>
        </is>
      </c>
      <c r="G20" s="4" t="n">
        <v>1</v>
      </c>
      <c r="H20" s="5" t="n">
        <v>905.25</v>
      </c>
      <c r="I20">
        <f>IF(H20&gt;=1000,"Large",IF(H20&gt;=300,"Medium","Small"))</f>
        <v/>
      </c>
    </row>
    <row r="21">
      <c r="A21" t="inlineStr">
        <is>
          <t>O0020</t>
        </is>
      </c>
      <c r="B21" s="3" t="n">
        <v>45306</v>
      </c>
      <c r="C21" t="inlineStr">
        <is>
          <t>Rutendo Chikafu</t>
        </is>
      </c>
      <c r="D21" t="inlineStr">
        <is>
          <t>Zimbabwe</t>
        </is>
      </c>
      <c r="E21" t="inlineStr">
        <is>
          <t>OnePlus 13</t>
        </is>
      </c>
      <c r="F21" t="inlineStr">
        <is>
          <t>Smartphone</t>
        </is>
      </c>
      <c r="G21" s="4" t="n">
        <v>1</v>
      </c>
      <c r="H21" s="5" t="n">
        <v>918</v>
      </c>
      <c r="I21">
        <f>IF(H21&gt;=1000,"Large",IF(H21&gt;=300,"Medium","Small"))</f>
        <v/>
      </c>
    </row>
    <row r="22">
      <c r="A22" t="inlineStr">
        <is>
          <t>O0021</t>
        </is>
      </c>
      <c r="B22" s="3" t="n">
        <v>45939</v>
      </c>
      <c r="C22" t="inlineStr">
        <is>
          <t>Kudzai Sibanda</t>
        </is>
      </c>
      <c r="D22" t="inlineStr">
        <is>
          <t>Zimbabwe</t>
        </is>
      </c>
      <c r="E22" t="inlineStr">
        <is>
          <t>Galaxy Tab S10</t>
        </is>
      </c>
      <c r="F22" t="inlineStr">
        <is>
          <t>Tablet</t>
        </is>
      </c>
      <c r="G22" s="4" t="n">
        <v>3</v>
      </c>
      <c r="H22" s="5" t="n">
        <v>1806.9</v>
      </c>
      <c r="I22">
        <f>IF(H22&gt;=1000,"Large",IF(H22&gt;=300,"Medium","Small"))</f>
        <v/>
      </c>
    </row>
    <row r="23">
      <c r="A23" t="inlineStr">
        <is>
          <t>O0022</t>
        </is>
      </c>
      <c r="B23" s="3" t="n">
        <v>45884</v>
      </c>
      <c r="C23" t="inlineStr">
        <is>
          <t>Chanda Phiri</t>
        </is>
      </c>
      <c r="D23" t="inlineStr">
        <is>
          <t>Zambia</t>
        </is>
      </c>
      <c r="E23" t="inlineStr">
        <is>
          <t>iPad Air 6</t>
        </is>
      </c>
      <c r="F23" t="inlineStr">
        <is>
          <t>Tablet</t>
        </is>
      </c>
      <c r="G23" s="4" t="n">
        <v>1</v>
      </c>
      <c r="H23" s="5" t="n">
        <v>672.8</v>
      </c>
      <c r="I23">
        <f>IF(H23&gt;=1000,"Large",IF(H23&gt;=300,"Medium","Small"))</f>
        <v/>
      </c>
    </row>
    <row r="24">
      <c r="A24" t="inlineStr">
        <is>
          <t>O0023</t>
        </is>
      </c>
      <c r="B24" s="3" t="n">
        <v>45522</v>
      </c>
      <c r="C24" t="inlineStr">
        <is>
          <t>Chanda Phiri</t>
        </is>
      </c>
      <c r="D24" t="inlineStr">
        <is>
          <t>Zambia</t>
        </is>
      </c>
      <c r="E24" t="inlineStr">
        <is>
          <t>Google Nest Hub 3</t>
        </is>
      </c>
      <c r="F24" t="inlineStr">
        <is>
          <t>Smart Home</t>
        </is>
      </c>
      <c r="G24" s="4" t="n">
        <v>2</v>
      </c>
      <c r="H24" s="5" t="n">
        <v>619.4</v>
      </c>
      <c r="I24">
        <f>IF(H24&gt;=1000,"Large",IF(H24&gt;=300,"Medium","Small"))</f>
        <v/>
      </c>
    </row>
    <row r="25">
      <c r="A25" t="inlineStr">
        <is>
          <t>O0024</t>
        </is>
      </c>
      <c r="B25" s="3" t="n">
        <v>46343</v>
      </c>
      <c r="C25" t="inlineStr">
        <is>
          <t>Farai Ncube</t>
        </is>
      </c>
      <c r="D25" t="inlineStr">
        <is>
          <t>Zimbabwe</t>
        </is>
      </c>
      <c r="E25" t="inlineStr">
        <is>
          <t>Google Nest Hub 3</t>
        </is>
      </c>
      <c r="F25" t="inlineStr">
        <is>
          <t>Smart Home</t>
        </is>
      </c>
      <c r="G25" s="4" t="n">
        <v>2</v>
      </c>
      <c r="H25" s="5" t="n">
        <v>370</v>
      </c>
      <c r="I25">
        <f>IF(H25&gt;=1000,"Large",IF(H25&gt;=300,"Medium","Small"))</f>
        <v/>
      </c>
    </row>
    <row r="26">
      <c r="A26" t="inlineStr">
        <is>
          <t>O0025</t>
        </is>
      </c>
      <c r="B26" s="3" t="n">
        <v>46363</v>
      </c>
      <c r="C26" t="inlineStr">
        <is>
          <t>Chanda Phiri</t>
        </is>
      </c>
      <c r="D26" t="inlineStr">
        <is>
          <t>Zambia</t>
        </is>
      </c>
      <c r="E26" t="inlineStr">
        <is>
          <t>ThinkPad X1</t>
        </is>
      </c>
      <c r="F26" t="inlineStr">
        <is>
          <t>Laptop</t>
        </is>
      </c>
      <c r="G26" s="4" t="n">
        <v>1</v>
      </c>
      <c r="H26" s="5" t="n">
        <v>882</v>
      </c>
      <c r="I26">
        <f>IF(H26&gt;=1000,"Large",IF(H26&gt;=300,"Medium","Small"))</f>
        <v/>
      </c>
    </row>
    <row r="27">
      <c r="A27" t="inlineStr">
        <is>
          <t>O0026</t>
        </is>
      </c>
      <c r="B27" s="3" t="n">
        <v>46017</v>
      </c>
      <c r="C27" t="inlineStr">
        <is>
          <t>Tendai Moyo</t>
        </is>
      </c>
      <c r="D27" t="inlineStr">
        <is>
          <t>Zimbabwe</t>
        </is>
      </c>
      <c r="E27" t="inlineStr">
        <is>
          <t>Echo Dot 6</t>
        </is>
      </c>
      <c r="F27" t="inlineStr">
        <is>
          <t>Smart Home</t>
        </is>
      </c>
      <c r="G27" s="4" t="n">
        <v>1</v>
      </c>
      <c r="H27" s="5" t="n">
        <v>190.8</v>
      </c>
      <c r="I27">
        <f>IF(H27&gt;=1000,"Large",IF(H27&gt;=300,"Medium","Small"))</f>
        <v/>
      </c>
    </row>
    <row r="28">
      <c r="A28" t="inlineStr">
        <is>
          <t>O0027</t>
        </is>
      </c>
      <c r="B28" s="3" t="n">
        <v>46252</v>
      </c>
      <c r="C28" t="inlineStr">
        <is>
          <t>Simbarashe Mutasa</t>
        </is>
      </c>
      <c r="D28" t="inlineStr">
        <is>
          <t>Zimbabwe</t>
        </is>
      </c>
      <c r="E28" t="inlineStr">
        <is>
          <t>MacBook Air M4</t>
        </is>
      </c>
      <c r="F28" t="inlineStr">
        <is>
          <t>Laptop</t>
        </is>
      </c>
      <c r="G28" s="4" t="n">
        <v>1</v>
      </c>
      <c r="H28" s="5" t="n">
        <v>1696</v>
      </c>
      <c r="I28">
        <f>IF(H28&gt;=1000,"Large",IF(H28&gt;=300,"Medium","Small"))</f>
        <v/>
      </c>
    </row>
    <row r="29">
      <c r="A29" t="inlineStr">
        <is>
          <t>O0028</t>
        </is>
      </c>
      <c r="B29" s="3" t="n">
        <v>46162</v>
      </c>
      <c r="C29" t="inlineStr">
        <is>
          <t>Chipo Marufu</t>
        </is>
      </c>
      <c r="D29" t="inlineStr">
        <is>
          <t>Zimbabwe</t>
        </is>
      </c>
      <c r="E29" t="inlineStr">
        <is>
          <t>Laptop Sleeve 15in</t>
        </is>
      </c>
      <c r="F29" t="inlineStr">
        <is>
          <t>Accessory</t>
        </is>
      </c>
      <c r="G29" s="4" t="n">
        <v>1</v>
      </c>
      <c r="H29" s="5" t="n">
        <v>102.2</v>
      </c>
      <c r="I29">
        <f>IF(H29&gt;=1000,"Large",IF(H29&gt;=300,"Medium","Small"))</f>
        <v/>
      </c>
    </row>
    <row r="30">
      <c r="A30" t="inlineStr">
        <is>
          <t>O0029</t>
        </is>
      </c>
      <c r="B30" s="3" t="n">
        <v>45498</v>
      </c>
      <c r="C30" t="inlineStr">
        <is>
          <t>Kudzai Sibanda</t>
        </is>
      </c>
      <c r="D30" t="inlineStr">
        <is>
          <t>Zimbabwe</t>
        </is>
      </c>
      <c r="E30" t="inlineStr">
        <is>
          <t>Bluetooth Headphones</t>
        </is>
      </c>
      <c r="F30" t="inlineStr">
        <is>
          <t>Accessory</t>
        </is>
      </c>
      <c r="G30" s="4" t="n">
        <v>2</v>
      </c>
      <c r="H30" s="5" t="n">
        <v>258.4</v>
      </c>
      <c r="I30">
        <f>IF(H30&gt;=1000,"Large",IF(H30&gt;=300,"Medium","Small"))</f>
        <v/>
      </c>
    </row>
    <row r="31">
      <c r="A31" t="inlineStr">
        <is>
          <t>O0030</t>
        </is>
      </c>
      <c r="B31" s="3" t="n">
        <v>46183</v>
      </c>
      <c r="C31" t="inlineStr">
        <is>
          <t>Simbarashe Mutasa</t>
        </is>
      </c>
      <c r="D31" t="inlineStr">
        <is>
          <t>Zimbabwe</t>
        </is>
      </c>
      <c r="E31" t="inlineStr">
        <is>
          <t>Ring Doorbell Pro</t>
        </is>
      </c>
      <c r="F31" t="inlineStr">
        <is>
          <t>Smart Home</t>
        </is>
      </c>
      <c r="G31" s="4" t="n">
        <v>1</v>
      </c>
      <c r="H31" s="5" t="n">
        <v>263</v>
      </c>
      <c r="I31">
        <f>IF(H31&gt;=1000,"Large",IF(H31&gt;=300,"Medium","Small"))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