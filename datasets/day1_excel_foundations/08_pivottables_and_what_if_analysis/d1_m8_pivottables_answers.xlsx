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Pivot Result" sheetId="2" state="visible" r:id="rId2"/>
    <sheet name="What-I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$&quot;#,##0.00"/>
    <numFmt numFmtId="167" formatCode="0.0%"/>
    <numFmt numFmtId="168" formatCode="&quot;$&quot;#,##0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4"/>
    </font>
    <font>
      <i val="1"/>
      <color rgb="00808080"/>
      <sz val="9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6" fontId="4" fillId="0" borderId="0" pivotButton="0" quotePrefix="0" xfId="0"/>
    <xf numFmtId="0" fontId="4" fillId="0" borderId="0" pivotButton="0" quotePrefix="0" xfId="0"/>
    <xf numFmtId="0" fontId="4" fillId="0" borderId="1" pivotButton="0" quotePrefix="0" xfId="0"/>
    <xf numFmtId="166" fontId="0" fillId="3" borderId="1" pivotButton="0" quotePrefix="0" xfId="0"/>
    <xf numFmtId="167" fontId="0" fillId="3" borderId="1" pivotButton="0" quotePrefix="0" xfId="0"/>
    <xf numFmtId="168" fontId="0" fillId="3" borderId="1" pivotButton="0" quotePrefix="0" xfId="0"/>
    <xf numFmtId="166" fontId="0" fillId="4" borderId="1" pivotButton="0" quotePrefix="0" xfId="0"/>
    <xf numFmtId="167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9" customWidth="1" min="3" max="3"/>
    <col width="9" customWidth="1" min="4" max="4"/>
    <col width="19.5" customWidth="1" min="5" max="5"/>
    <col width="14.5" customWidth="1" min="6" max="6"/>
    <col width="22.5" customWidth="1" min="7" max="7"/>
    <col width="12.5" customWidth="1" min="8" max="8"/>
    <col width="10.5" customWidth="1" min="9" max="9"/>
    <col width="9" customWidth="1" min="10" max="10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Year</t>
        </is>
      </c>
      <c r="D1" s="1" t="inlineStr">
        <is>
          <t>Month</t>
        </is>
      </c>
      <c r="E1" s="1" t="inlineStr">
        <is>
          <t>Customer</t>
        </is>
      </c>
      <c r="F1" s="1" t="inlineStr">
        <is>
          <t>Country</t>
        </is>
      </c>
      <c r="G1" s="1" t="inlineStr">
        <is>
          <t>Product</t>
        </is>
      </c>
      <c r="H1" s="1" t="inlineStr">
        <is>
          <t>Category</t>
        </is>
      </c>
      <c r="I1" s="1" t="inlineStr">
        <is>
          <t>Quantity</t>
        </is>
      </c>
      <c r="J1" s="1" t="inlineStr">
        <is>
          <t>Sales</t>
        </is>
      </c>
    </row>
    <row r="2">
      <c r="A2" t="inlineStr">
        <is>
          <t>O0001</t>
        </is>
      </c>
      <c r="B2" s="2" t="n">
        <v>46039</v>
      </c>
      <c r="C2" t="n">
        <v>2026</v>
      </c>
      <c r="D2" t="inlineStr">
        <is>
          <t>Jan</t>
        </is>
      </c>
      <c r="E2" t="inlineStr">
        <is>
          <t>Amara Otieno</t>
        </is>
      </c>
      <c r="F2" t="inlineStr">
        <is>
          <t>Kenya</t>
        </is>
      </c>
      <c r="G2" t="inlineStr">
        <is>
          <t>iPhone 16</t>
        </is>
      </c>
      <c r="H2" t="inlineStr">
        <is>
          <t>Smartphone</t>
        </is>
      </c>
      <c r="I2" t="n">
        <v>1</v>
      </c>
      <c r="J2" s="3" t="n">
        <v>1000</v>
      </c>
    </row>
    <row r="3">
      <c r="A3" t="inlineStr">
        <is>
          <t>O0002</t>
        </is>
      </c>
      <c r="B3" s="2" t="n">
        <v>45991</v>
      </c>
      <c r="C3" t="n">
        <v>2025</v>
      </c>
      <c r="D3" t="inlineStr">
        <is>
          <t>Nov</t>
        </is>
      </c>
      <c r="E3" t="inlineStr">
        <is>
          <t>Chipo Marufu</t>
        </is>
      </c>
      <c r="F3" t="inlineStr">
        <is>
          <t>Zimbabwe</t>
        </is>
      </c>
      <c r="G3" t="inlineStr">
        <is>
          <t>Bluetooth Headphones</t>
        </is>
      </c>
      <c r="H3" t="inlineStr">
        <is>
          <t>Accessory</t>
        </is>
      </c>
      <c r="I3" t="n">
        <v>1</v>
      </c>
      <c r="J3" s="3" t="n">
        <v>120</v>
      </c>
    </row>
    <row r="4">
      <c r="A4" t="inlineStr">
        <is>
          <t>O0003</t>
        </is>
      </c>
      <c r="B4" s="2" t="n">
        <v>45481</v>
      </c>
      <c r="C4" t="n">
        <v>2024</v>
      </c>
      <c r="D4" t="inlineStr">
        <is>
          <t>Jul</t>
        </is>
      </c>
      <c r="E4" t="inlineStr">
        <is>
          <t>Tendai Moyo</t>
        </is>
      </c>
      <c r="F4" t="inlineStr">
        <is>
          <t>Zimbabwe</t>
        </is>
      </c>
      <c r="G4" t="inlineStr">
        <is>
          <t>Dell XPS 15</t>
        </is>
      </c>
      <c r="H4" t="inlineStr">
        <is>
          <t>Laptop</t>
        </is>
      </c>
      <c r="I4" t="n">
        <v>1</v>
      </c>
      <c r="J4" s="3" t="n">
        <v>1500</v>
      </c>
    </row>
    <row r="5">
      <c r="A5" t="inlineStr">
        <is>
          <t>O0004</t>
        </is>
      </c>
      <c r="B5" s="2" t="n">
        <v>46249</v>
      </c>
      <c r="C5" t="n">
        <v>2026</v>
      </c>
      <c r="D5" t="inlineStr">
        <is>
          <t>Aug</t>
        </is>
      </c>
      <c r="E5" t="inlineStr">
        <is>
          <t>Kudzai Sibanda</t>
        </is>
      </c>
      <c r="F5" t="inlineStr">
        <is>
          <t>Zimbabwe</t>
        </is>
      </c>
      <c r="G5" t="inlineStr">
        <is>
          <t>ThinkPad X1</t>
        </is>
      </c>
      <c r="H5" t="inlineStr">
        <is>
          <t>Laptop</t>
        </is>
      </c>
      <c r="I5" t="n">
        <v>2</v>
      </c>
      <c r="J5" s="3" t="n">
        <v>2800</v>
      </c>
    </row>
    <row r="6">
      <c r="A6" t="inlineStr">
        <is>
          <t>O0005</t>
        </is>
      </c>
      <c r="B6" s="2" t="n">
        <v>46123</v>
      </c>
      <c r="C6" t="n">
        <v>2026</v>
      </c>
      <c r="D6" t="inlineStr">
        <is>
          <t>Apr</t>
        </is>
      </c>
      <c r="E6" t="inlineStr">
        <is>
          <t>Chipo Marufu</t>
        </is>
      </c>
      <c r="F6" t="inlineStr">
        <is>
          <t>Zimbabwe</t>
        </is>
      </c>
      <c r="G6" t="inlineStr">
        <is>
          <t>iPad Air 6</t>
        </is>
      </c>
      <c r="H6" t="inlineStr">
        <is>
          <t>Tablet</t>
        </is>
      </c>
      <c r="I6" t="n">
        <v>1</v>
      </c>
      <c r="J6" s="3" t="n">
        <v>700</v>
      </c>
    </row>
    <row r="7">
      <c r="A7" t="inlineStr">
        <is>
          <t>O0006</t>
        </is>
      </c>
      <c r="B7" s="2" t="n">
        <v>45694</v>
      </c>
      <c r="C7" t="n">
        <v>2025</v>
      </c>
      <c r="D7" t="inlineStr">
        <is>
          <t>Feb</t>
        </is>
      </c>
      <c r="E7" t="inlineStr">
        <is>
          <t>Simbarashe Mutasa</t>
        </is>
      </c>
      <c r="F7" t="inlineStr">
        <is>
          <t>Zimbabwe</t>
        </is>
      </c>
      <c r="G7" t="inlineStr">
        <is>
          <t>Ring Doorbell Pro</t>
        </is>
      </c>
      <c r="H7" t="inlineStr">
        <is>
          <t>Smart Home</t>
        </is>
      </c>
      <c r="I7" t="n">
        <v>2</v>
      </c>
      <c r="J7" s="3" t="n">
        <v>400</v>
      </c>
    </row>
    <row r="8">
      <c r="A8" t="inlineStr">
        <is>
          <t>O0007</t>
        </is>
      </c>
      <c r="B8" s="2" t="n">
        <v>45922</v>
      </c>
      <c r="C8" t="n">
        <v>2025</v>
      </c>
      <c r="D8" t="inlineStr">
        <is>
          <t>Sep</t>
        </is>
      </c>
      <c r="E8" t="inlineStr">
        <is>
          <t>Rutendo Chikafu</t>
        </is>
      </c>
      <c r="F8" t="inlineStr">
        <is>
          <t>Zimbabwe</t>
        </is>
      </c>
      <c r="G8" t="inlineStr">
        <is>
          <t>Galaxy S24</t>
        </is>
      </c>
      <c r="H8" t="inlineStr">
        <is>
          <t>Smartphone</t>
        </is>
      </c>
      <c r="I8" t="n">
        <v>1</v>
      </c>
      <c r="J8" s="3" t="n">
        <v>800</v>
      </c>
    </row>
    <row r="9">
      <c r="A9" t="inlineStr">
        <is>
          <t>O0008</t>
        </is>
      </c>
      <c r="B9" s="2" t="n">
        <v>45533</v>
      </c>
      <c r="C9" t="n">
        <v>2024</v>
      </c>
      <c r="D9" t="inlineStr">
        <is>
          <t>Aug</t>
        </is>
      </c>
      <c r="E9" t="inlineStr">
        <is>
          <t>Chanda Phiri</t>
        </is>
      </c>
      <c r="F9" t="inlineStr">
        <is>
          <t>Zambia</t>
        </is>
      </c>
      <c r="G9" t="inlineStr">
        <is>
          <t>MacBook Air M4</t>
        </is>
      </c>
      <c r="H9" t="inlineStr">
        <is>
          <t>Laptop</t>
        </is>
      </c>
      <c r="I9" t="n">
        <v>1</v>
      </c>
      <c r="J9" s="3" t="n">
        <v>1000</v>
      </c>
    </row>
    <row r="10">
      <c r="A10" t="inlineStr">
        <is>
          <t>O0009</t>
        </is>
      </c>
      <c r="B10" s="2" t="n">
        <v>46084</v>
      </c>
      <c r="C10" t="n">
        <v>2026</v>
      </c>
      <c r="D10" t="inlineStr">
        <is>
          <t>Mar</t>
        </is>
      </c>
      <c r="E10" t="inlineStr">
        <is>
          <t>Nyasha Banda</t>
        </is>
      </c>
      <c r="F10" t="inlineStr">
        <is>
          <t>Zimbabwe</t>
        </is>
      </c>
      <c r="G10" t="inlineStr">
        <is>
          <t>USB-C Hub 7in1</t>
        </is>
      </c>
      <c r="H10" t="inlineStr">
        <is>
          <t>Accessory</t>
        </is>
      </c>
      <c r="I10" t="n">
        <v>2</v>
      </c>
      <c r="J10" s="3" t="n">
        <v>160</v>
      </c>
    </row>
    <row r="11">
      <c r="A11" t="inlineStr">
        <is>
          <t>O0010</t>
        </is>
      </c>
      <c r="B11" s="2" t="n">
        <v>45796</v>
      </c>
      <c r="C11" t="n">
        <v>2025</v>
      </c>
      <c r="D11" t="inlineStr">
        <is>
          <t>May</t>
        </is>
      </c>
      <c r="E11" t="inlineStr">
        <is>
          <t>Farai Ncube</t>
        </is>
      </c>
      <c r="F11" t="inlineStr">
        <is>
          <t>Zimbabwe</t>
        </is>
      </c>
      <c r="G11" t="inlineStr">
        <is>
          <t>Surface Go 4</t>
        </is>
      </c>
      <c r="H11" t="inlineStr">
        <is>
          <t>Tablet</t>
        </is>
      </c>
      <c r="I11" t="n">
        <v>3</v>
      </c>
      <c r="J11" s="3" t="n">
        <v>1800</v>
      </c>
    </row>
    <row r="12">
      <c r="A12" t="inlineStr">
        <is>
          <t>O0011</t>
        </is>
      </c>
      <c r="B12" s="2" t="n">
        <v>46200</v>
      </c>
      <c r="C12" t="n">
        <v>2026</v>
      </c>
      <c r="D12" t="inlineStr">
        <is>
          <t>Jun</t>
        </is>
      </c>
      <c r="E12" t="inlineStr">
        <is>
          <t>Thabo Nkosi</t>
        </is>
      </c>
      <c r="F12" t="inlineStr">
        <is>
          <t>South Africa</t>
        </is>
      </c>
      <c r="G12" t="inlineStr">
        <is>
          <t>Pixel 9 Pro</t>
        </is>
      </c>
      <c r="H12" t="inlineStr">
        <is>
          <t>Smartphone</t>
        </is>
      </c>
      <c r="I12" t="n">
        <v>2</v>
      </c>
      <c r="J12" s="3" t="n">
        <v>1800</v>
      </c>
    </row>
    <row r="13">
      <c r="A13" t="inlineStr">
        <is>
          <t>O0012</t>
        </is>
      </c>
      <c r="B13" s="2" t="n">
        <v>45944</v>
      </c>
      <c r="C13" t="n">
        <v>2025</v>
      </c>
      <c r="D13" t="inlineStr">
        <is>
          <t>Oct</t>
        </is>
      </c>
      <c r="E13" t="inlineStr">
        <is>
          <t>Kagiso Molefe</t>
        </is>
      </c>
      <c r="F13" t="inlineStr">
        <is>
          <t>Botswana</t>
        </is>
      </c>
      <c r="G13" t="inlineStr">
        <is>
          <t>Echo Dot 6</t>
        </is>
      </c>
      <c r="H13" t="inlineStr">
        <is>
          <t>Smart Home</t>
        </is>
      </c>
      <c r="I13" t="n">
        <v>1</v>
      </c>
      <c r="J13" s="3" t="n">
        <v>100</v>
      </c>
    </row>
    <row r="14">
      <c r="A14" t="inlineStr">
        <is>
          <t>O0013</t>
        </is>
      </c>
      <c r="B14" s="2" t="n">
        <v>46365</v>
      </c>
      <c r="C14" t="n">
        <v>2026</v>
      </c>
      <c r="D14" t="inlineStr">
        <is>
          <t>Dec</t>
        </is>
      </c>
      <c r="E14" t="inlineStr">
        <is>
          <t>Tatenda Mpofu</t>
        </is>
      </c>
      <c r="F14" t="inlineStr">
        <is>
          <t>Zimbabwe</t>
        </is>
      </c>
      <c r="G14" t="inlineStr">
        <is>
          <t>HP Spectre x360</t>
        </is>
      </c>
      <c r="H14" t="inlineStr">
        <is>
          <t>Laptop</t>
        </is>
      </c>
      <c r="I14" t="n">
        <v>2</v>
      </c>
      <c r="J14" s="3" t="n">
        <v>2400</v>
      </c>
    </row>
    <row r="15">
      <c r="A15" t="inlineStr">
        <is>
          <t>O0014</t>
        </is>
      </c>
      <c r="B15" s="2" t="n">
        <v>45682</v>
      </c>
      <c r="C15" t="n">
        <v>2025</v>
      </c>
      <c r="D15" t="inlineStr">
        <is>
          <t>Jan</t>
        </is>
      </c>
      <c r="E15" t="inlineStr">
        <is>
          <t>Amara Otieno</t>
        </is>
      </c>
      <c r="F15" t="inlineStr">
        <is>
          <t>Kenya</t>
        </is>
      </c>
      <c r="G15" t="inlineStr">
        <is>
          <t>Galaxy Tab S10</t>
        </is>
      </c>
      <c r="H15" t="inlineStr">
        <is>
          <t>Tablet</t>
        </is>
      </c>
      <c r="I15" t="n">
        <v>1</v>
      </c>
      <c r="J15" s="3" t="n">
        <v>500</v>
      </c>
    </row>
    <row r="16">
      <c r="A16" t="inlineStr">
        <is>
          <t>O0015</t>
        </is>
      </c>
      <c r="B16" s="2" t="n">
        <v>46210</v>
      </c>
      <c r="C16" t="n">
        <v>2026</v>
      </c>
      <c r="D16" t="inlineStr">
        <is>
          <t>Jul</t>
        </is>
      </c>
      <c r="E16" t="inlineStr">
        <is>
          <t>Tendai Moyo</t>
        </is>
      </c>
      <c r="F16" t="inlineStr">
        <is>
          <t>Zimbabwe</t>
        </is>
      </c>
      <c r="G16" t="inlineStr">
        <is>
          <t>Wireless Mouse Pro</t>
        </is>
      </c>
      <c r="H16" t="inlineStr">
        <is>
          <t>Accessory</t>
        </is>
      </c>
      <c r="I16" t="n">
        <v>1</v>
      </c>
      <c r="J16" s="3" t="n">
        <v>60</v>
      </c>
    </row>
    <row r="17">
      <c r="A17" t="inlineStr">
        <is>
          <t>O0016</t>
        </is>
      </c>
      <c r="B17" s="2" t="n">
        <v>45734</v>
      </c>
      <c r="C17" t="n">
        <v>2025</v>
      </c>
      <c r="D17" t="inlineStr">
        <is>
          <t>Mar</t>
        </is>
      </c>
      <c r="E17" t="inlineStr">
        <is>
          <t>Kudzai Sibanda</t>
        </is>
      </c>
      <c r="F17" t="inlineStr">
        <is>
          <t>Zimbabwe</t>
        </is>
      </c>
      <c r="G17" t="inlineStr">
        <is>
          <t>OnePlus 13</t>
        </is>
      </c>
      <c r="H17" t="inlineStr">
        <is>
          <t>Smartphone</t>
        </is>
      </c>
      <c r="I17" t="n">
        <v>1</v>
      </c>
      <c r="J17" s="3" t="n">
        <v>600</v>
      </c>
    </row>
    <row r="18">
      <c r="A18" t="inlineStr">
        <is>
          <t>O0017</t>
        </is>
      </c>
      <c r="B18" s="2" t="n">
        <v>46347</v>
      </c>
      <c r="C18" t="n">
        <v>2026</v>
      </c>
      <c r="D18" t="inlineStr">
        <is>
          <t>Nov</t>
        </is>
      </c>
      <c r="E18" t="inlineStr">
        <is>
          <t>Chanda Phiri</t>
        </is>
      </c>
      <c r="F18" t="inlineStr">
        <is>
          <t>Zambia</t>
        </is>
      </c>
      <c r="G18" t="inlineStr">
        <is>
          <t>Google Nest Hub 3</t>
        </is>
      </c>
      <c r="H18" t="inlineStr">
        <is>
          <t>Smart Home</t>
        </is>
      </c>
      <c r="I18" t="n">
        <v>1</v>
      </c>
      <c r="J18" s="3" t="n">
        <v>150</v>
      </c>
    </row>
    <row r="19">
      <c r="A19" t="inlineStr">
        <is>
          <t>O0018</t>
        </is>
      </c>
      <c r="B19" s="2" t="n">
        <v>45902</v>
      </c>
      <c r="C19" t="n">
        <v>2025</v>
      </c>
      <c r="D19" t="inlineStr">
        <is>
          <t>Sep</t>
        </is>
      </c>
      <c r="E19" t="inlineStr">
        <is>
          <t>Rutendo Chikafu</t>
        </is>
      </c>
      <c r="F19" t="inlineStr">
        <is>
          <t>Zimbabwe</t>
        </is>
      </c>
      <c r="G19" t="inlineStr">
        <is>
          <t>Laptop Sleeve 15in</t>
        </is>
      </c>
      <c r="H19" t="inlineStr">
        <is>
          <t>Accessory</t>
        </is>
      </c>
      <c r="I19" t="n">
        <v>3</v>
      </c>
      <c r="J19" s="3" t="n">
        <v>150</v>
      </c>
    </row>
    <row r="20">
      <c r="A20" t="inlineStr">
        <is>
          <t>O0019</t>
        </is>
      </c>
      <c r="B20" s="2" t="n">
        <v>46065</v>
      </c>
      <c r="C20" t="n">
        <v>2026</v>
      </c>
      <c r="D20" t="inlineStr">
        <is>
          <t>Feb</t>
        </is>
      </c>
      <c r="E20" t="inlineStr">
        <is>
          <t>Nyasha Banda</t>
        </is>
      </c>
      <c r="F20" t="inlineStr">
        <is>
          <t>Zimbabwe</t>
        </is>
      </c>
      <c r="G20" t="inlineStr">
        <is>
          <t>iPad Air 6</t>
        </is>
      </c>
      <c r="H20" t="inlineStr">
        <is>
          <t>Tablet</t>
        </is>
      </c>
      <c r="I20" t="n">
        <v>2</v>
      </c>
      <c r="J20" s="3" t="n">
        <v>1400</v>
      </c>
    </row>
    <row r="21">
      <c r="A21" t="inlineStr">
        <is>
          <t>O0020</t>
        </is>
      </c>
      <c r="B21" s="2" t="n">
        <v>45824</v>
      </c>
      <c r="C21" t="n">
        <v>2025</v>
      </c>
      <c r="D21" t="inlineStr">
        <is>
          <t>Jun</t>
        </is>
      </c>
      <c r="E21" t="inlineStr">
        <is>
          <t>Farai Ncube</t>
        </is>
      </c>
      <c r="F21" t="inlineStr">
        <is>
          <t>Zimbabwe</t>
        </is>
      </c>
      <c r="G21" t="inlineStr">
        <is>
          <t>Ring Doorbell Pro</t>
        </is>
      </c>
      <c r="H21" t="inlineStr">
        <is>
          <t>Smart Home</t>
        </is>
      </c>
      <c r="I21" t="n">
        <v>1</v>
      </c>
      <c r="J21" s="3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  <col width="13.5" customWidth="1" min="5" max="5"/>
  </cols>
  <sheetData>
    <row r="1">
      <c r="A1" s="4" t="inlineStr">
        <is>
          <t>What your PivotTable should show: Total Sales by Category and Year</t>
        </is>
      </c>
    </row>
    <row r="2">
      <c r="A2" s="5" t="inlineStr">
        <is>
          <t>Built here with SUMIFS rather than a real PivotTable, so you can see the logic. A PivotTable does exactly this - it just does it by dragging instead of typing.</t>
        </is>
      </c>
    </row>
    <row r="3"/>
    <row r="4" ht="20" customHeight="1">
      <c r="A4" s="1" t="inlineStr">
        <is>
          <t>Category</t>
        </is>
      </c>
      <c r="B4" s="1" t="n">
        <v>2024</v>
      </c>
      <c r="C4" s="1" t="n">
        <v>2025</v>
      </c>
      <c r="D4" s="1" t="n">
        <v>2026</v>
      </c>
      <c r="E4" s="1" t="inlineStr">
        <is>
          <t>Grand Total</t>
        </is>
      </c>
    </row>
    <row r="5">
      <c r="A5" t="inlineStr">
        <is>
          <t>Laptop</t>
        </is>
      </c>
      <c r="B5" s="3">
        <f>SUMIFS(Orders!$J$2:$J$21,Orders!$H$2:$H$21,$A5,Orders!$C$2:$C$21,2024)</f>
        <v/>
      </c>
      <c r="C5" s="3">
        <f>SUMIFS(Orders!$J$2:$J$21,Orders!$H$2:$H$21,$A5,Orders!$C$2:$C$21,2025)</f>
        <v/>
      </c>
      <c r="D5" s="3">
        <f>SUMIFS(Orders!$J$2:$J$21,Orders!$H$2:$H$21,$A5,Orders!$C$2:$C$21,2026)</f>
        <v/>
      </c>
      <c r="E5" s="6">
        <f>SUM(B5:D5)</f>
        <v/>
      </c>
    </row>
    <row r="6">
      <c r="A6" t="inlineStr">
        <is>
          <t>Smartphone</t>
        </is>
      </c>
      <c r="B6" s="3">
        <f>SUMIFS(Orders!$J$2:$J$21,Orders!$H$2:$H$21,$A6,Orders!$C$2:$C$21,2024)</f>
        <v/>
      </c>
      <c r="C6" s="3">
        <f>SUMIFS(Orders!$J$2:$J$21,Orders!$H$2:$H$21,$A6,Orders!$C$2:$C$21,2025)</f>
        <v/>
      </c>
      <c r="D6" s="3">
        <f>SUMIFS(Orders!$J$2:$J$21,Orders!$H$2:$H$21,$A6,Orders!$C$2:$C$21,2026)</f>
        <v/>
      </c>
      <c r="E6" s="6">
        <f>SUM(B6:D6)</f>
        <v/>
      </c>
    </row>
    <row r="7">
      <c r="A7" t="inlineStr">
        <is>
          <t>Tablet</t>
        </is>
      </c>
      <c r="B7" s="3">
        <f>SUMIFS(Orders!$J$2:$J$21,Orders!$H$2:$H$21,$A7,Orders!$C$2:$C$21,2024)</f>
        <v/>
      </c>
      <c r="C7" s="3">
        <f>SUMIFS(Orders!$J$2:$J$21,Orders!$H$2:$H$21,$A7,Orders!$C$2:$C$21,2025)</f>
        <v/>
      </c>
      <c r="D7" s="3">
        <f>SUMIFS(Orders!$J$2:$J$21,Orders!$H$2:$H$21,$A7,Orders!$C$2:$C$21,2026)</f>
        <v/>
      </c>
      <c r="E7" s="6">
        <f>SUM(B7:D7)</f>
        <v/>
      </c>
    </row>
    <row r="8">
      <c r="A8" t="inlineStr">
        <is>
          <t>Accessory</t>
        </is>
      </c>
      <c r="B8" s="3">
        <f>SUMIFS(Orders!$J$2:$J$21,Orders!$H$2:$H$21,$A8,Orders!$C$2:$C$21,2024)</f>
        <v/>
      </c>
      <c r="C8" s="3">
        <f>SUMIFS(Orders!$J$2:$J$21,Orders!$H$2:$H$21,$A8,Orders!$C$2:$C$21,2025)</f>
        <v/>
      </c>
      <c r="D8" s="3">
        <f>SUMIFS(Orders!$J$2:$J$21,Orders!$H$2:$H$21,$A8,Orders!$C$2:$C$21,2026)</f>
        <v/>
      </c>
      <c r="E8" s="6">
        <f>SUM(B8:D8)</f>
        <v/>
      </c>
    </row>
    <row r="9">
      <c r="A9" t="inlineStr">
        <is>
          <t>Smart Home</t>
        </is>
      </c>
      <c r="B9" s="3">
        <f>SUMIFS(Orders!$J$2:$J$21,Orders!$H$2:$H$21,$A9,Orders!$C$2:$C$21,2024)</f>
        <v/>
      </c>
      <c r="C9" s="3">
        <f>SUMIFS(Orders!$J$2:$J$21,Orders!$H$2:$H$21,$A9,Orders!$C$2:$C$21,2025)</f>
        <v/>
      </c>
      <c r="D9" s="3">
        <f>SUMIFS(Orders!$J$2:$J$21,Orders!$H$2:$H$21,$A9,Orders!$C$2:$C$21,2026)</f>
        <v/>
      </c>
      <c r="E9" s="6">
        <f>SUM(B9:D9)</f>
        <v/>
      </c>
    </row>
    <row r="10">
      <c r="A10" s="7" t="inlineStr">
        <is>
          <t>Grand Total</t>
        </is>
      </c>
      <c r="B10" s="6">
        <f>SUM(B5:B9)</f>
        <v/>
      </c>
      <c r="C10" s="6">
        <f>SUM(C5:C9)</f>
        <v/>
      </c>
      <c r="D10" s="6">
        <f>SUM(D5:D9)</f>
        <v/>
      </c>
      <c r="E10" s="6">
        <f>SUM(E5:E9)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2" customWidth="1" min="1" max="1"/>
    <col width="21.5" customWidth="1" min="2" max="2"/>
    <col width="42" customWidth="1" min="4" max="4"/>
  </cols>
  <sheetData>
    <row r="1">
      <c r="A1" s="4" t="inlineStr">
        <is>
          <t>NovaTech Retail - Next Year Projection</t>
        </is>
      </c>
    </row>
    <row r="2"/>
    <row r="3">
      <c r="A3" s="7" t="inlineStr">
        <is>
          <t>INPUTS (change the yellow cells)</t>
        </is>
      </c>
    </row>
    <row r="4">
      <c r="A4" s="8" t="inlineStr">
        <is>
          <t>Current Annual Revenue</t>
        </is>
      </c>
      <c r="B4" s="9">
        <f>SUM(Orders!J2:J21)</f>
        <v/>
      </c>
      <c r="D4" s="5" t="inlineStr">
        <is>
          <t>Goal Seek target for Step 12: set B13 to 3000 by changing B5 (answer is about 7%).</t>
        </is>
      </c>
    </row>
    <row r="5">
      <c r="A5" s="8" t="inlineStr">
        <is>
          <t>Price Increase</t>
        </is>
      </c>
      <c r="B5" s="10" t="n">
        <v>0</v>
      </c>
      <c r="D5" s="5" t="inlineStr">
        <is>
          <t>Note the results depend on each other: Revenue feeds Costs, both feed Profit.</t>
        </is>
      </c>
    </row>
    <row r="6">
      <c r="A6" s="8" t="inlineStr">
        <is>
          <t>Expected Volume Change</t>
        </is>
      </c>
      <c r="B6" s="10" t="n">
        <v>-0.02</v>
      </c>
    </row>
    <row r="7">
      <c r="A7" s="8" t="inlineStr">
        <is>
          <t>Cost as % of Revenue</t>
        </is>
      </c>
      <c r="B7" s="10" t="n">
        <v>0.62</v>
      </c>
    </row>
    <row r="8">
      <c r="A8" s="8" t="inlineStr">
        <is>
          <t>Fixed Costs</t>
        </is>
      </c>
      <c r="B8" s="11" t="n">
        <v>4000</v>
      </c>
    </row>
    <row r="9"/>
    <row r="10">
      <c r="A10" s="7" t="inlineStr">
        <is>
          <t>RESULTS (calculated - do not type over these)</t>
        </is>
      </c>
    </row>
    <row r="11">
      <c r="A11" s="8" t="inlineStr">
        <is>
          <t>Projected Revenue</t>
        </is>
      </c>
      <c r="B11" s="12">
        <f>B4*(1+B5)*(1+B6)</f>
        <v/>
      </c>
    </row>
    <row r="12">
      <c r="A12" s="8" t="inlineStr">
        <is>
          <t>Projected Costs</t>
        </is>
      </c>
      <c r="B12" s="12">
        <f>B11*B7+B8</f>
        <v/>
      </c>
    </row>
    <row r="13">
      <c r="A13" s="8" t="inlineStr">
        <is>
          <t>Projected Profit</t>
        </is>
      </c>
      <c r="B13" s="12">
        <f>B11-B12</f>
        <v/>
      </c>
    </row>
    <row r="14">
      <c r="A14" s="8" t="inlineStr">
        <is>
          <t>Profit Margin</t>
        </is>
      </c>
      <c r="B14" s="13">
        <f>IFERROR(B13/B11,0)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2026-07-21T04:52:23Z</dcterms:created>
  <dcterms:modified xsi:type="dcterms:W3CDTF">2026-07-21T04:52:25Z</dcterms:modified>
</cp:coreProperties>
</file>