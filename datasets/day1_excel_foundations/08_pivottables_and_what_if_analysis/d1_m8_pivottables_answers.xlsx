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&quot;$&quot;#,##0"/>
    <numFmt numFmtId="168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0" fillId="3" borderId="1" pivotButton="0" quotePrefix="0" xfId="0"/>
    <xf numFmtId="167" fontId="0" fillId="3" borderId="1" pivotButton="0" quotePrefix="0" xfId="0"/>
    <xf numFmtId="167" fontId="0" fillId="4" borderId="1" pivotButton="0" quotePrefix="0" xfId="0"/>
    <xf numFmtId="167" fontId="0" fillId="5" borderId="1" pivotButton="0" quotePrefix="0" xfId="0"/>
    <xf numFmtId="168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9.5" customWidth="1" min="5" max="5"/>
    <col width="14.5" customWidth="1" min="6" max="6"/>
    <col width="22.5" customWidth="1" min="7" max="7"/>
    <col width="12.5" customWidth="1" min="8" max="8"/>
    <col width="10.5" customWidth="1" min="9" max="9"/>
    <col width="9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Amara Otieno</t>
        </is>
      </c>
      <c r="F2" t="inlineStr">
        <is>
          <t>Kenya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Chipo Marufu</t>
        </is>
      </c>
      <c r="F3" t="inlineStr">
        <is>
          <t>Zimbabwe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120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Tendai Moyo</t>
        </is>
      </c>
      <c r="F4" t="inlineStr">
        <is>
          <t>Zimbabwe</t>
        </is>
      </c>
      <c r="G4" t="inlineStr">
        <is>
          <t>Dell XPS 15</t>
        </is>
      </c>
      <c r="H4" t="inlineStr">
        <is>
          <t>Laptop</t>
        </is>
      </c>
      <c r="I4" t="n">
        <v>1</v>
      </c>
      <c r="J4" s="3" t="n">
        <v>1500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Kudzai Sibanda</t>
        </is>
      </c>
      <c r="F5" t="inlineStr">
        <is>
          <t>Zimbabwe</t>
        </is>
      </c>
      <c r="G5" t="inlineStr">
        <is>
          <t>ThinkPad X1</t>
        </is>
      </c>
      <c r="H5" t="inlineStr">
        <is>
          <t>Laptop</t>
        </is>
      </c>
      <c r="I5" t="n">
        <v>2</v>
      </c>
      <c r="J5" s="3" t="n">
        <v>2800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Chipo Marufu</t>
        </is>
      </c>
      <c r="F6" t="inlineStr">
        <is>
          <t>Zimbabwe</t>
        </is>
      </c>
      <c r="G6" t="inlineStr">
        <is>
          <t>iPad Air 6</t>
        </is>
      </c>
      <c r="H6" t="inlineStr">
        <is>
          <t>Tablet</t>
        </is>
      </c>
      <c r="I6" t="n">
        <v>1</v>
      </c>
      <c r="J6" s="3" t="n">
        <v>700</v>
      </c>
    </row>
    <row r="7">
      <c r="A7" t="inlineStr">
        <is>
          <t>O0006</t>
        </is>
      </c>
      <c r="B7" s="2" t="n">
        <v>45694</v>
      </c>
      <c r="C7" t="n">
        <v>2025</v>
      </c>
      <c r="D7" t="inlineStr">
        <is>
          <t>Feb</t>
        </is>
      </c>
      <c r="E7" t="inlineStr">
        <is>
          <t>Simbarashe Mutasa</t>
        </is>
      </c>
      <c r="F7" t="inlineStr">
        <is>
          <t>Zimbabwe</t>
        </is>
      </c>
      <c r="G7" t="inlineStr">
        <is>
          <t>Ring Doorbell Pro</t>
        </is>
      </c>
      <c r="H7" t="inlineStr">
        <is>
          <t>Smart Home</t>
        </is>
      </c>
      <c r="I7" t="n">
        <v>2</v>
      </c>
      <c r="J7" s="3" t="n">
        <v>400</v>
      </c>
    </row>
    <row r="8">
      <c r="A8" t="inlineStr">
        <is>
          <t>O0007</t>
        </is>
      </c>
      <c r="B8" s="2" t="n">
        <v>45922</v>
      </c>
      <c r="C8" t="n">
        <v>2025</v>
      </c>
      <c r="D8" t="inlineStr">
        <is>
          <t>Sep</t>
        </is>
      </c>
      <c r="E8" t="inlineStr">
        <is>
          <t>Rutendo Chikafu</t>
        </is>
      </c>
      <c r="F8" t="inlineStr">
        <is>
          <t>Zimbabwe</t>
        </is>
      </c>
      <c r="G8" t="inlineStr">
        <is>
          <t>Galaxy S24</t>
        </is>
      </c>
      <c r="H8" t="inlineStr">
        <is>
          <t>Smartphone</t>
        </is>
      </c>
      <c r="I8" t="n">
        <v>1</v>
      </c>
      <c r="J8" s="3" t="n">
        <v>800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Chanda Phiri</t>
        </is>
      </c>
      <c r="F9" t="inlineStr">
        <is>
          <t>Zambia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1000</v>
      </c>
    </row>
    <row r="10">
      <c r="A10" t="inlineStr">
        <is>
          <t>O0009</t>
        </is>
      </c>
      <c r="B10" s="2" t="n">
        <v>46084</v>
      </c>
      <c r="C10" t="n">
        <v>2026</v>
      </c>
      <c r="D10" t="inlineStr">
        <is>
          <t>Mar</t>
        </is>
      </c>
      <c r="E10" t="inlineStr">
        <is>
          <t>Nyasha Banda</t>
        </is>
      </c>
      <c r="F10" t="inlineStr">
        <is>
          <t>Zimbabwe</t>
        </is>
      </c>
      <c r="G10" t="inlineStr">
        <is>
          <t>USB-C Hub 7in1</t>
        </is>
      </c>
      <c r="H10" t="inlineStr">
        <is>
          <t>Accessory</t>
        </is>
      </c>
      <c r="I10" t="n">
        <v>2</v>
      </c>
      <c r="J10" s="3" t="n">
        <v>160</v>
      </c>
    </row>
    <row r="11">
      <c r="A11" t="inlineStr">
        <is>
          <t>O0010</t>
        </is>
      </c>
      <c r="B11" s="2" t="n">
        <v>45796</v>
      </c>
      <c r="C11" t="n">
        <v>2025</v>
      </c>
      <c r="D11" t="inlineStr">
        <is>
          <t>May</t>
        </is>
      </c>
      <c r="E11" t="inlineStr">
        <is>
          <t>Farai Ncube</t>
        </is>
      </c>
      <c r="F11" t="inlineStr">
        <is>
          <t>Zimbabwe</t>
        </is>
      </c>
      <c r="G11" t="inlineStr">
        <is>
          <t>Surface Go 4</t>
        </is>
      </c>
      <c r="H11" t="inlineStr">
        <is>
          <t>Tablet</t>
        </is>
      </c>
      <c r="I11" t="n">
        <v>3</v>
      </c>
      <c r="J11" s="3" t="n">
        <v>1800</v>
      </c>
    </row>
    <row r="12">
      <c r="A12" t="inlineStr">
        <is>
          <t>O0011</t>
        </is>
      </c>
      <c r="B12" s="2" t="n">
        <v>46200</v>
      </c>
      <c r="C12" t="n">
        <v>2026</v>
      </c>
      <c r="D12" t="inlineStr">
        <is>
          <t>Jun</t>
        </is>
      </c>
      <c r="E12" t="inlineStr">
        <is>
          <t>Thabo Nkosi</t>
        </is>
      </c>
      <c r="F12" t="inlineStr">
        <is>
          <t>South Africa</t>
        </is>
      </c>
      <c r="G12" t="inlineStr">
        <is>
          <t>Pixel 9 Pro</t>
        </is>
      </c>
      <c r="H12" t="inlineStr">
        <is>
          <t>Smartphone</t>
        </is>
      </c>
      <c r="I12" t="n">
        <v>2</v>
      </c>
      <c r="J12" s="3" t="n">
        <v>1800</v>
      </c>
    </row>
    <row r="13">
      <c r="A13" t="inlineStr">
        <is>
          <t>O0012</t>
        </is>
      </c>
      <c r="B13" s="2" t="n">
        <v>45944</v>
      </c>
      <c r="C13" t="n">
        <v>2025</v>
      </c>
      <c r="D13" t="inlineStr">
        <is>
          <t>Oct</t>
        </is>
      </c>
      <c r="E13" t="inlineStr">
        <is>
          <t>Kagiso Molefe</t>
        </is>
      </c>
      <c r="F13" t="inlineStr">
        <is>
          <t>Botswana</t>
        </is>
      </c>
      <c r="G13" t="inlineStr">
        <is>
          <t>Echo Dot 6</t>
        </is>
      </c>
      <c r="H13" t="inlineStr">
        <is>
          <t>Smart Home</t>
        </is>
      </c>
      <c r="I13" t="n">
        <v>1</v>
      </c>
      <c r="J13" s="3" t="n">
        <v>100</v>
      </c>
    </row>
    <row r="14">
      <c r="A14" t="inlineStr">
        <is>
          <t>O0013</t>
        </is>
      </c>
      <c r="B14" s="2" t="n">
        <v>46365</v>
      </c>
      <c r="C14" t="n">
        <v>2026</v>
      </c>
      <c r="D14" t="inlineStr">
        <is>
          <t>Dec</t>
        </is>
      </c>
      <c r="E14" t="inlineStr">
        <is>
          <t>Tatenda Mpofu</t>
        </is>
      </c>
      <c r="F14" t="inlineStr">
        <is>
          <t>Zimbabwe</t>
        </is>
      </c>
      <c r="G14" t="inlineStr">
        <is>
          <t>HP Spectre x360</t>
        </is>
      </c>
      <c r="H14" t="inlineStr">
        <is>
          <t>Laptop</t>
        </is>
      </c>
      <c r="I14" t="n">
        <v>2</v>
      </c>
      <c r="J14" s="3" t="n">
        <v>2400</v>
      </c>
    </row>
    <row r="15">
      <c r="A15" t="inlineStr">
        <is>
          <t>O0014</t>
        </is>
      </c>
      <c r="B15" s="2" t="n">
        <v>45682</v>
      </c>
      <c r="C15" t="n">
        <v>2025</v>
      </c>
      <c r="D15" t="inlineStr">
        <is>
          <t>Jan</t>
        </is>
      </c>
      <c r="E15" t="inlineStr">
        <is>
          <t>Amara Otieno</t>
        </is>
      </c>
      <c r="F15" t="inlineStr">
        <is>
          <t>Kenya</t>
        </is>
      </c>
      <c r="G15" t="inlineStr">
        <is>
          <t>Galaxy Tab S10</t>
        </is>
      </c>
      <c r="H15" t="inlineStr">
        <is>
          <t>Tablet</t>
        </is>
      </c>
      <c r="I15" t="n">
        <v>1</v>
      </c>
      <c r="J15" s="3" t="n">
        <v>500</v>
      </c>
    </row>
    <row r="16">
      <c r="A16" t="inlineStr">
        <is>
          <t>O0015</t>
        </is>
      </c>
      <c r="B16" s="2" t="n">
        <v>46210</v>
      </c>
      <c r="C16" t="n">
        <v>2026</v>
      </c>
      <c r="D16" t="inlineStr">
        <is>
          <t>Jul</t>
        </is>
      </c>
      <c r="E16" t="inlineStr">
        <is>
          <t>Tendai Moyo</t>
        </is>
      </c>
      <c r="F16" t="inlineStr">
        <is>
          <t>Zimbabwe</t>
        </is>
      </c>
      <c r="G16" t="inlineStr">
        <is>
          <t>Wireless Mouse Pro</t>
        </is>
      </c>
      <c r="H16" t="inlineStr">
        <is>
          <t>Accessory</t>
        </is>
      </c>
      <c r="I16" t="n">
        <v>1</v>
      </c>
      <c r="J16" s="3" t="n">
        <v>60</v>
      </c>
    </row>
    <row r="17">
      <c r="A17" t="inlineStr">
        <is>
          <t>O0016</t>
        </is>
      </c>
      <c r="B17" s="2" t="n">
        <v>45734</v>
      </c>
      <c r="C17" t="n">
        <v>2025</v>
      </c>
      <c r="D17" t="inlineStr">
        <is>
          <t>Mar</t>
        </is>
      </c>
      <c r="E17" t="inlineStr">
        <is>
          <t>Kudzai Sibanda</t>
        </is>
      </c>
      <c r="F17" t="inlineStr">
        <is>
          <t>Zimbabwe</t>
        </is>
      </c>
      <c r="G17" t="inlineStr">
        <is>
          <t>OnePlus 13</t>
        </is>
      </c>
      <c r="H17" t="inlineStr">
        <is>
          <t>Smartphone</t>
        </is>
      </c>
      <c r="I17" t="n">
        <v>1</v>
      </c>
      <c r="J17" s="3" t="n">
        <v>600</v>
      </c>
    </row>
    <row r="18">
      <c r="A18" t="inlineStr">
        <is>
          <t>O0017</t>
        </is>
      </c>
      <c r="B18" s="2" t="n">
        <v>46347</v>
      </c>
      <c r="C18" t="n">
        <v>2026</v>
      </c>
      <c r="D18" t="inlineStr">
        <is>
          <t>Nov</t>
        </is>
      </c>
      <c r="E18" t="inlineStr">
        <is>
          <t>Chanda Phiri</t>
        </is>
      </c>
      <c r="F18" t="inlineStr">
        <is>
          <t>Zambia</t>
        </is>
      </c>
      <c r="G18" t="inlineStr">
        <is>
          <t>Google Nest Hub 3</t>
        </is>
      </c>
      <c r="H18" t="inlineStr">
        <is>
          <t>Smart Home</t>
        </is>
      </c>
      <c r="I18" t="n">
        <v>1</v>
      </c>
      <c r="J18" s="3" t="n">
        <v>150</v>
      </c>
    </row>
    <row r="19">
      <c r="A19" t="inlineStr">
        <is>
          <t>O0018</t>
        </is>
      </c>
      <c r="B19" s="2" t="n">
        <v>45902</v>
      </c>
      <c r="C19" t="n">
        <v>2025</v>
      </c>
      <c r="D19" t="inlineStr">
        <is>
          <t>Sep</t>
        </is>
      </c>
      <c r="E19" t="inlineStr">
        <is>
          <t>Rutendo Chikafu</t>
        </is>
      </c>
      <c r="F19" t="inlineStr">
        <is>
          <t>Zimbabwe</t>
        </is>
      </c>
      <c r="G19" t="inlineStr">
        <is>
          <t>Laptop Sleeve 15in</t>
        </is>
      </c>
      <c r="H19" t="inlineStr">
        <is>
          <t>Accessory</t>
        </is>
      </c>
      <c r="I19" t="n">
        <v>3</v>
      </c>
      <c r="J19" s="3" t="n">
        <v>150</v>
      </c>
    </row>
    <row r="20">
      <c r="A20" t="inlineStr">
        <is>
          <t>O0019</t>
        </is>
      </c>
      <c r="B20" s="2" t="n">
        <v>46065</v>
      </c>
      <c r="C20" t="n">
        <v>2026</v>
      </c>
      <c r="D20" t="inlineStr">
        <is>
          <t>Feb</t>
        </is>
      </c>
      <c r="E20" t="inlineStr">
        <is>
          <t>Nyasha Banda</t>
        </is>
      </c>
      <c r="F20" t="inlineStr">
        <is>
          <t>Zimbabwe</t>
        </is>
      </c>
      <c r="G20" t="inlineStr">
        <is>
          <t>iPad Air 6</t>
        </is>
      </c>
      <c r="H20" t="inlineStr">
        <is>
          <t>Tablet</t>
        </is>
      </c>
      <c r="I20" t="n">
        <v>2</v>
      </c>
      <c r="J20" s="3" t="n">
        <v>1400</v>
      </c>
    </row>
    <row r="21">
      <c r="A21" t="inlineStr">
        <is>
          <t>O0020</t>
        </is>
      </c>
      <c r="B21" s="2" t="n">
        <v>45824</v>
      </c>
      <c r="C21" t="n">
        <v>2025</v>
      </c>
      <c r="D21" t="inlineStr">
        <is>
          <t>Jun</t>
        </is>
      </c>
      <c r="E21" t="inlineStr">
        <is>
          <t>Farai Ncube</t>
        </is>
      </c>
      <c r="F21" t="inlineStr">
        <is>
          <t>Zimbabwe</t>
        </is>
      </c>
      <c r="G21" t="inlineStr">
        <is>
          <t>Ring Doorbell Pro</t>
        </is>
      </c>
      <c r="H21" t="inlineStr">
        <is>
          <t>Smart Home</t>
        </is>
      </c>
      <c r="I21" t="n">
        <v>1</v>
      </c>
      <c r="J21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SUMIFS(Orders!$J$2:$J$21,Orders!$H$2:$H$21,$A5,Orders!$C$2:$C$21,2024)</f>
        <v/>
      </c>
      <c r="C5" s="3">
        <f>SUMIFS(Orders!$J$2:$J$21,Orders!$H$2:$H$21,$A5,Orders!$C$2:$C$21,2025)</f>
        <v/>
      </c>
      <c r="D5" s="3">
        <f>SUMIFS(Orders!$J$2:$J$21,Orders!$H$2:$H$21,$A5,Orders!$C$2:$C$21,2026)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SUMIFS(Orders!$J$2:$J$21,Orders!$H$2:$H$21,$A6,Orders!$C$2:$C$21,2024)</f>
        <v/>
      </c>
      <c r="C6" s="3">
        <f>SUMIFS(Orders!$J$2:$J$21,Orders!$H$2:$H$21,$A6,Orders!$C$2:$C$21,2025)</f>
        <v/>
      </c>
      <c r="D6" s="3">
        <f>SUMIFS(Orders!$J$2:$J$21,Orders!$H$2:$H$21,$A6,Orders!$C$2:$C$21,2026)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SUMIFS(Orders!$J$2:$J$21,Orders!$H$2:$H$21,$A7,Orders!$C$2:$C$21,2024)</f>
        <v/>
      </c>
      <c r="C7" s="3">
        <f>SUMIFS(Orders!$J$2:$J$21,Orders!$H$2:$H$21,$A7,Orders!$C$2:$C$21,2025)</f>
        <v/>
      </c>
      <c r="D7" s="3">
        <f>SUMIFS(Orders!$J$2:$J$21,Orders!$H$2:$H$21,$A7,Orders!$C$2:$C$21,2026)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SUMIFS(Orders!$J$2:$J$21,Orders!$H$2:$H$21,$A8,Orders!$C$2:$C$21,2024)</f>
        <v/>
      </c>
      <c r="C8" s="3">
        <f>SUMIFS(Orders!$J$2:$J$21,Orders!$H$2:$H$21,$A8,Orders!$C$2:$C$21,2025)</f>
        <v/>
      </c>
      <c r="D8" s="3">
        <f>SUMIFS(Orders!$J$2:$J$21,Orders!$H$2:$H$21,$A8,Orders!$C$2:$C$21,2026)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SUMIFS(Orders!$J$2:$J$21,Orders!$H$2:$H$21,$A9,Orders!$C$2:$C$21,2024)</f>
        <v/>
      </c>
      <c r="C9" s="3">
        <f>SUMIFS(Orders!$J$2:$J$21,Orders!$H$2:$H$21,$A9,Orders!$C$2:$C$21,2025)</f>
        <v/>
      </c>
      <c r="D9" s="3">
        <f>SUMIFS(Orders!$J$2:$J$21,Orders!$H$2:$H$21,$A9,Orders!$C$2:$C$21,2026)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1.5" customWidth="1" min="2" max="2"/>
    <col width="42" customWidth="1" min="3" max="3"/>
    <col width="42" customWidth="1" min="4" max="4"/>
  </cols>
  <sheetData>
    <row r="1">
      <c r="A1" s="4" t="inlineStr">
        <is>
          <t>Sales Target Planner</t>
        </is>
      </c>
    </row>
    <row r="2">
      <c r="A2" s="5" t="inlineStr">
        <is>
          <t>Everything below is on this What-If sheet - no other sheet is involved.</t>
        </is>
      </c>
    </row>
    <row r="3"/>
    <row r="4">
      <c r="A4" s="8" t="inlineStr">
        <is>
          <t>Laptops to sell</t>
        </is>
      </c>
      <c r="B4" s="9" t="n">
        <v>5</v>
      </c>
      <c r="D4" s="7" t="inlineStr">
        <is>
          <t>GOAL SEEK: we want Total Sales (B7) to reach 10000.</t>
        </is>
      </c>
    </row>
    <row r="5">
      <c r="A5" s="8" t="inlineStr">
        <is>
          <t>Price each</t>
        </is>
      </c>
      <c r="B5" s="10" t="n">
        <v>1000</v>
      </c>
      <c r="D5" t="inlineStr">
        <is>
          <t>Data tab &gt; What-If Analysis &gt; Goal Seek:</t>
        </is>
      </c>
    </row>
    <row r="6">
      <c r="D6" t="inlineStr">
        <is>
          <t xml:space="preserve">   Set cell:     B7   (Total sales - the formula)</t>
        </is>
      </c>
    </row>
    <row r="7">
      <c r="A7" s="8" t="inlineStr">
        <is>
          <t>Total sales</t>
        </is>
      </c>
      <c r="B7" s="11">
        <f>B4*B5</f>
        <v/>
      </c>
      <c r="D7" t="inlineStr">
        <is>
          <t xml:space="preserve">   To value:     10000</t>
        </is>
      </c>
    </row>
    <row r="8">
      <c r="D8" t="inlineStr">
        <is>
          <t xml:space="preserve">   By changing:  B4   (Laptops to sell - a plain number)</t>
        </is>
      </c>
    </row>
    <row r="9">
      <c r="D9" s="5" t="inlineStr">
        <is>
          <t>Excel works backwards and puts 10 in B4  (because 10 x 1000 = 10000).</t>
        </is>
      </c>
    </row>
    <row r="10"/>
    <row r="11">
      <c r="A11" s="7" t="inlineStr">
        <is>
          <t>NOW WITH REAL DATA - an answer you could not work out in your head</t>
        </is>
      </c>
    </row>
    <row r="12">
      <c r="A12" s="8" t="inlineStr">
        <is>
          <t>Current total sales</t>
        </is>
      </c>
      <c r="B12" s="12">
        <f>SUM(Orders!J2:J21)</f>
        <v/>
      </c>
      <c r="C12" s="5" t="inlineStr">
        <is>
          <t>&lt;- adds the Sales column on the Orders sheet</t>
        </is>
      </c>
      <c r="D12" s="7" t="inlineStr">
        <is>
          <t>GOAL SEEK 2: we want Projected total (B14) to reach 20000.</t>
        </is>
      </c>
    </row>
    <row r="13">
      <c r="A13" s="8" t="inlineStr">
        <is>
          <t>Sales growth</t>
        </is>
      </c>
      <c r="B13" s="13" t="n">
        <v>0</v>
      </c>
      <c r="D13" t="inlineStr">
        <is>
          <t xml:space="preserve">   Set cell: B14    To value: 20000    By changing: B13 (Sales growth)</t>
        </is>
      </c>
    </row>
    <row r="14">
      <c r="A14" s="8" t="inlineStr">
        <is>
          <t>Projected total</t>
        </is>
      </c>
      <c r="B14" s="11">
        <f>B12*(1+B13)</f>
        <v/>
      </c>
      <c r="D14" s="5" t="inlineStr">
        <is>
          <t>Excel finds about 13.4% - a number you could not have guessed. THAT is</t>
        </is>
      </c>
    </row>
    <row r="15">
      <c r="D15" s="5" t="inlineStr">
        <is>
          <t>when Goal Seek really earns its keep: real numbers, no easy mental maths.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2026-07-21T05:51:25Z</dcterms:created>
  <dcterms:modified xsi:type="dcterms:W3CDTF">2026-07-21T05:51:27Z</dcterms:modified>
</cp:coreProperties>
</file>