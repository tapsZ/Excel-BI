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ivot Result" sheetId="2" state="visible" r:id="rId2"/>
    <sheet name="What-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color rgb="008080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6" fontId="0" fillId="4" borderId="1" pivotButton="0" quotePrefix="0" xfId="0"/>
    <xf numFmtId="167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9" customWidth="1" min="3" max="3"/>
    <col width="9" customWidth="1" min="4" max="4"/>
    <col width="19.5" customWidth="1" min="5" max="5"/>
    <col width="14.5" customWidth="1" min="6" max="6"/>
    <col width="22.5" customWidth="1" min="7" max="7"/>
    <col width="12.5" customWidth="1" min="8" max="8"/>
    <col width="10.5" customWidth="1" min="9" max="9"/>
    <col width="9" customWidth="1" min="10" max="10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Customer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n">
        <v>2026</v>
      </c>
      <c r="D2" t="inlineStr">
        <is>
          <t>Jan</t>
        </is>
      </c>
      <c r="E2" t="inlineStr">
        <is>
          <t>Amara Otieno</t>
        </is>
      </c>
      <c r="F2" t="inlineStr">
        <is>
          <t>Kenya</t>
        </is>
      </c>
      <c r="G2" t="inlineStr">
        <is>
          <t>iPhone 16</t>
        </is>
      </c>
      <c r="H2" t="inlineStr">
        <is>
          <t>Smartphone</t>
        </is>
      </c>
      <c r="I2" t="n">
        <v>1</v>
      </c>
      <c r="J2" s="3" t="n">
        <v>1000</v>
      </c>
    </row>
    <row r="3">
      <c r="A3" t="inlineStr">
        <is>
          <t>O0002</t>
        </is>
      </c>
      <c r="B3" s="2" t="n">
        <v>45991</v>
      </c>
      <c r="C3" t="n">
        <v>2025</v>
      </c>
      <c r="D3" t="inlineStr">
        <is>
          <t>Nov</t>
        </is>
      </c>
      <c r="E3" t="inlineStr">
        <is>
          <t>Chipo Marufu</t>
        </is>
      </c>
      <c r="F3" t="inlineStr">
        <is>
          <t>Zimbabwe</t>
        </is>
      </c>
      <c r="G3" t="inlineStr">
        <is>
          <t>Bluetooth Headphones</t>
        </is>
      </c>
      <c r="H3" t="inlineStr">
        <is>
          <t>Accessory</t>
        </is>
      </c>
      <c r="I3" t="n">
        <v>1</v>
      </c>
      <c r="J3" s="3" t="n">
        <v>120</v>
      </c>
    </row>
    <row r="4">
      <c r="A4" t="inlineStr">
        <is>
          <t>O0003</t>
        </is>
      </c>
      <c r="B4" s="2" t="n">
        <v>45481</v>
      </c>
      <c r="C4" t="n">
        <v>2024</v>
      </c>
      <c r="D4" t="inlineStr">
        <is>
          <t>Jul</t>
        </is>
      </c>
      <c r="E4" t="inlineStr">
        <is>
          <t>Tendai Moyo</t>
        </is>
      </c>
      <c r="F4" t="inlineStr">
        <is>
          <t>Zimbabwe</t>
        </is>
      </c>
      <c r="G4" t="inlineStr">
        <is>
          <t>Dell XPS 15</t>
        </is>
      </c>
      <c r="H4" t="inlineStr">
        <is>
          <t>Laptop</t>
        </is>
      </c>
      <c r="I4" t="n">
        <v>2</v>
      </c>
      <c r="J4" s="3" t="n">
        <v>3000</v>
      </c>
    </row>
    <row r="5">
      <c r="A5" t="inlineStr">
        <is>
          <t>O0004</t>
        </is>
      </c>
      <c r="B5" s="2" t="n">
        <v>46249</v>
      </c>
      <c r="C5" t="n">
        <v>2026</v>
      </c>
      <c r="D5" t="inlineStr">
        <is>
          <t>Aug</t>
        </is>
      </c>
      <c r="E5" t="inlineStr">
        <is>
          <t>Kudzai Sibanda</t>
        </is>
      </c>
      <c r="F5" t="inlineStr">
        <is>
          <t>Zimbabwe</t>
        </is>
      </c>
      <c r="G5" t="inlineStr">
        <is>
          <t>ThinkPad X1</t>
        </is>
      </c>
      <c r="H5" t="inlineStr">
        <is>
          <t>Laptop</t>
        </is>
      </c>
      <c r="I5" t="n">
        <v>1</v>
      </c>
      <c r="J5" s="3" t="n">
        <v>1400</v>
      </c>
    </row>
    <row r="6">
      <c r="A6" t="inlineStr">
        <is>
          <t>O0005</t>
        </is>
      </c>
      <c r="B6" s="2" t="n">
        <v>46123</v>
      </c>
      <c r="C6" t="n">
        <v>2026</v>
      </c>
      <c r="D6" t="inlineStr">
        <is>
          <t>Apr</t>
        </is>
      </c>
      <c r="E6" t="inlineStr">
        <is>
          <t>Chipo Marufu</t>
        </is>
      </c>
      <c r="F6" t="inlineStr">
        <is>
          <t>Zimbabwe</t>
        </is>
      </c>
      <c r="G6" t="inlineStr">
        <is>
          <t>OnePlus 13</t>
        </is>
      </c>
      <c r="H6" t="inlineStr">
        <is>
          <t>Smartphone</t>
        </is>
      </c>
      <c r="I6" t="n">
        <v>1</v>
      </c>
      <c r="J6" s="3" t="n">
        <v>600</v>
      </c>
    </row>
    <row r="7">
      <c r="A7" t="inlineStr">
        <is>
          <t>O0006</t>
        </is>
      </c>
      <c r="B7" s="2" t="n">
        <v>45938</v>
      </c>
      <c r="C7" t="n">
        <v>2025</v>
      </c>
      <c r="D7" t="inlineStr">
        <is>
          <t>Oct</t>
        </is>
      </c>
      <c r="E7" t="inlineStr">
        <is>
          <t>Amara Otieno</t>
        </is>
      </c>
      <c r="F7" t="inlineStr">
        <is>
          <t>Kenya</t>
        </is>
      </c>
      <c r="G7" t="inlineStr">
        <is>
          <t>Galaxy S24</t>
        </is>
      </c>
      <c r="H7" t="inlineStr">
        <is>
          <t>Smartphone</t>
        </is>
      </c>
      <c r="I7" t="n">
        <v>2</v>
      </c>
      <c r="J7" s="3" t="n">
        <v>1600</v>
      </c>
    </row>
    <row r="8">
      <c r="A8" t="inlineStr">
        <is>
          <t>O0007</t>
        </is>
      </c>
      <c r="B8" s="2" t="n">
        <v>45458</v>
      </c>
      <c r="C8" t="n">
        <v>2024</v>
      </c>
      <c r="D8" t="inlineStr">
        <is>
          <t>Jun</t>
        </is>
      </c>
      <c r="E8" t="inlineStr">
        <is>
          <t>Chanda Phiri</t>
        </is>
      </c>
      <c r="F8" t="inlineStr">
        <is>
          <t>Zambia</t>
        </is>
      </c>
      <c r="G8" t="inlineStr">
        <is>
          <t>Echo Dot 6</t>
        </is>
      </c>
      <c r="H8" t="inlineStr">
        <is>
          <t>Smart Home</t>
        </is>
      </c>
      <c r="I8" t="n">
        <v>3</v>
      </c>
      <c r="J8" s="3" t="n">
        <v>300</v>
      </c>
    </row>
    <row r="9">
      <c r="A9" t="inlineStr">
        <is>
          <t>O0008</t>
        </is>
      </c>
      <c r="B9" s="2" t="n">
        <v>45533</v>
      </c>
      <c r="C9" t="n">
        <v>2024</v>
      </c>
      <c r="D9" t="inlineStr">
        <is>
          <t>Aug</t>
        </is>
      </c>
      <c r="E9" t="inlineStr">
        <is>
          <t>Chanda Phiri</t>
        </is>
      </c>
      <c r="F9" t="inlineStr">
        <is>
          <t>Zambia</t>
        </is>
      </c>
      <c r="G9" t="inlineStr">
        <is>
          <t>MacBook Air M4</t>
        </is>
      </c>
      <c r="H9" t="inlineStr">
        <is>
          <t>Laptop</t>
        </is>
      </c>
      <c r="I9" t="n">
        <v>1</v>
      </c>
      <c r="J9" s="3" t="n">
        <v>1000</v>
      </c>
    </row>
    <row r="10">
      <c r="A10" t="inlineStr">
        <is>
          <t>O0009</t>
        </is>
      </c>
      <c r="B10" s="2" t="n">
        <v>45856</v>
      </c>
      <c r="C10" t="n">
        <v>2025</v>
      </c>
      <c r="D10" t="inlineStr">
        <is>
          <t>Jul</t>
        </is>
      </c>
      <c r="E10" t="inlineStr">
        <is>
          <t>Chipo Marufu</t>
        </is>
      </c>
      <c r="F10" t="inlineStr">
        <is>
          <t>Zimbabwe</t>
        </is>
      </c>
      <c r="G10" t="inlineStr">
        <is>
          <t>Surface Go 4</t>
        </is>
      </c>
      <c r="H10" t="inlineStr">
        <is>
          <t>Tablet</t>
        </is>
      </c>
      <c r="I10" t="n">
        <v>1</v>
      </c>
      <c r="J10" s="3" t="n">
        <v>600</v>
      </c>
    </row>
    <row r="11">
      <c r="A11" t="inlineStr">
        <is>
          <t>O0010</t>
        </is>
      </c>
      <c r="B11" s="2" t="n">
        <v>45383</v>
      </c>
      <c r="C11" t="n">
        <v>2024</v>
      </c>
      <c r="D11" t="inlineStr">
        <is>
          <t>Apr</t>
        </is>
      </c>
      <c r="E11" t="inlineStr">
        <is>
          <t>Nyasha Banda</t>
        </is>
      </c>
      <c r="F11" t="inlineStr">
        <is>
          <t>Zimbabwe</t>
        </is>
      </c>
      <c r="G11" t="inlineStr">
        <is>
          <t>HP Spectre x360</t>
        </is>
      </c>
      <c r="H11" t="inlineStr">
        <is>
          <t>Laptop</t>
        </is>
      </c>
      <c r="I11" t="n">
        <v>1</v>
      </c>
      <c r="J11" s="3" t="n">
        <v>1200</v>
      </c>
    </row>
    <row r="12">
      <c r="A12" t="inlineStr">
        <is>
          <t>O0011</t>
        </is>
      </c>
      <c r="B12" s="2" t="n">
        <v>46317</v>
      </c>
      <c r="C12" t="n">
        <v>2026</v>
      </c>
      <c r="D12" t="inlineStr">
        <is>
          <t>Oct</t>
        </is>
      </c>
      <c r="E12" t="inlineStr">
        <is>
          <t>Kudzai Sibanda</t>
        </is>
      </c>
      <c r="F12" t="inlineStr">
        <is>
          <t>Zimbabwe</t>
        </is>
      </c>
      <c r="G12" t="inlineStr">
        <is>
          <t>ThinkPad X1</t>
        </is>
      </c>
      <c r="H12" t="inlineStr">
        <is>
          <t>Laptop</t>
        </is>
      </c>
      <c r="I12" t="n">
        <v>1</v>
      </c>
      <c r="J12" s="3" t="n">
        <v>1400</v>
      </c>
    </row>
    <row r="13">
      <c r="A13" t="inlineStr">
        <is>
          <t>O0012</t>
        </is>
      </c>
      <c r="B13" s="2" t="n">
        <v>45857</v>
      </c>
      <c r="C13" t="n">
        <v>2025</v>
      </c>
      <c r="D13" t="inlineStr">
        <is>
          <t>Jul</t>
        </is>
      </c>
      <c r="E13" t="inlineStr">
        <is>
          <t>Tendai Moyo</t>
        </is>
      </c>
      <c r="F13" t="inlineStr">
        <is>
          <t>Zimbabwe</t>
        </is>
      </c>
      <c r="G13" t="inlineStr">
        <is>
          <t>Surface Go 4</t>
        </is>
      </c>
      <c r="H13" t="inlineStr">
        <is>
          <t>Tablet</t>
        </is>
      </c>
      <c r="I13" t="n">
        <v>1</v>
      </c>
      <c r="J13" s="3" t="n">
        <v>600</v>
      </c>
    </row>
    <row r="14">
      <c r="A14" t="inlineStr">
        <is>
          <t>O0013</t>
        </is>
      </c>
      <c r="B14" s="2" t="n">
        <v>45994</v>
      </c>
      <c r="C14" t="n">
        <v>2025</v>
      </c>
      <c r="D14" t="inlineStr">
        <is>
          <t>Dec</t>
        </is>
      </c>
      <c r="E14" t="inlineStr">
        <is>
          <t>Chipo Marufu</t>
        </is>
      </c>
      <c r="F14" t="inlineStr">
        <is>
          <t>Zimbabwe</t>
        </is>
      </c>
      <c r="G14" t="inlineStr">
        <is>
          <t>Galaxy S24</t>
        </is>
      </c>
      <c r="H14" t="inlineStr">
        <is>
          <t>Smartphone</t>
        </is>
      </c>
      <c r="I14" t="n">
        <v>1</v>
      </c>
      <c r="J14" s="3" t="n">
        <v>800</v>
      </c>
    </row>
    <row r="15">
      <c r="A15" t="inlineStr">
        <is>
          <t>O0014</t>
        </is>
      </c>
      <c r="B15" s="2" t="n">
        <v>45453</v>
      </c>
      <c r="C15" t="n">
        <v>2024</v>
      </c>
      <c r="D15" t="inlineStr">
        <is>
          <t>Jun</t>
        </is>
      </c>
      <c r="E15" t="inlineStr">
        <is>
          <t>Nyasha Banda</t>
        </is>
      </c>
      <c r="F15" t="inlineStr">
        <is>
          <t>Zimbabwe</t>
        </is>
      </c>
      <c r="G15" t="inlineStr">
        <is>
          <t>Echo Dot 6</t>
        </is>
      </c>
      <c r="H15" t="inlineStr">
        <is>
          <t>Smart Home</t>
        </is>
      </c>
      <c r="I15" t="n">
        <v>1</v>
      </c>
      <c r="J15" s="3" t="n">
        <v>100</v>
      </c>
    </row>
    <row r="16">
      <c r="A16" t="inlineStr">
        <is>
          <t>O0015</t>
        </is>
      </c>
      <c r="B16" s="2" t="n">
        <v>46287</v>
      </c>
      <c r="C16" t="n">
        <v>2026</v>
      </c>
      <c r="D16" t="inlineStr">
        <is>
          <t>Sep</t>
        </is>
      </c>
      <c r="E16" t="inlineStr">
        <is>
          <t>Chanda Phiri</t>
        </is>
      </c>
      <c r="F16" t="inlineStr">
        <is>
          <t>Zambia</t>
        </is>
      </c>
      <c r="G16" t="inlineStr">
        <is>
          <t>Galaxy S24</t>
        </is>
      </c>
      <c r="H16" t="inlineStr">
        <is>
          <t>Smartphone</t>
        </is>
      </c>
      <c r="I16" t="n">
        <v>1</v>
      </c>
      <c r="J16" s="3" t="n">
        <v>800</v>
      </c>
    </row>
    <row r="17">
      <c r="A17" t="inlineStr">
        <is>
          <t>O0016</t>
        </is>
      </c>
      <c r="B17" s="2" t="n">
        <v>46107</v>
      </c>
      <c r="C17" t="n">
        <v>2026</v>
      </c>
      <c r="D17" t="inlineStr">
        <is>
          <t>Mar</t>
        </is>
      </c>
      <c r="E17" t="inlineStr">
        <is>
          <t>Chanda Phiri</t>
        </is>
      </c>
      <c r="F17" t="inlineStr">
        <is>
          <t>Zambia</t>
        </is>
      </c>
      <c r="G17" t="inlineStr">
        <is>
          <t>ThinkPad X1</t>
        </is>
      </c>
      <c r="H17" t="inlineStr">
        <is>
          <t>Laptop</t>
        </is>
      </c>
      <c r="I17" t="n">
        <v>1</v>
      </c>
      <c r="J17" s="3" t="n">
        <v>1400</v>
      </c>
    </row>
    <row r="18">
      <c r="A18" t="inlineStr">
        <is>
          <t>O0017</t>
        </is>
      </c>
      <c r="B18" s="2" t="n">
        <v>46011</v>
      </c>
      <c r="C18" t="n">
        <v>2025</v>
      </c>
      <c r="D18" t="inlineStr">
        <is>
          <t>Dec</t>
        </is>
      </c>
      <c r="E18" t="inlineStr">
        <is>
          <t>Tatenda Mpofu</t>
        </is>
      </c>
      <c r="F18" t="inlineStr">
        <is>
          <t>Zimbabwe</t>
        </is>
      </c>
      <c r="G18" t="inlineStr">
        <is>
          <t>Bluetooth Headphones</t>
        </is>
      </c>
      <c r="H18" t="inlineStr">
        <is>
          <t>Accessory</t>
        </is>
      </c>
      <c r="I18" t="n">
        <v>1</v>
      </c>
      <c r="J18" s="3" t="n">
        <v>120</v>
      </c>
    </row>
    <row r="19">
      <c r="A19" t="inlineStr">
        <is>
          <t>O0018</t>
        </is>
      </c>
      <c r="B19" s="2" t="n">
        <v>45508</v>
      </c>
      <c r="C19" t="n">
        <v>2024</v>
      </c>
      <c r="D19" t="inlineStr">
        <is>
          <t>Aug</t>
        </is>
      </c>
      <c r="E19" t="inlineStr">
        <is>
          <t>Chipo Marufu</t>
        </is>
      </c>
      <c r="F19" t="inlineStr">
        <is>
          <t>Zimbabwe</t>
        </is>
      </c>
      <c r="G19" t="inlineStr">
        <is>
          <t>ThinkPad X1</t>
        </is>
      </c>
      <c r="H19" t="inlineStr">
        <is>
          <t>Laptop</t>
        </is>
      </c>
      <c r="I19" t="n">
        <v>1</v>
      </c>
      <c r="J19" s="3" t="n">
        <v>1400</v>
      </c>
    </row>
    <row r="20">
      <c r="A20" t="inlineStr">
        <is>
          <t>O0019</t>
        </is>
      </c>
      <c r="B20" s="2" t="n">
        <v>45671</v>
      </c>
      <c r="C20" t="n">
        <v>2025</v>
      </c>
      <c r="D20" t="inlineStr">
        <is>
          <t>Jan</t>
        </is>
      </c>
      <c r="E20" t="inlineStr">
        <is>
          <t>Kudzai Sibanda</t>
        </is>
      </c>
      <c r="F20" t="inlineStr">
        <is>
          <t>Zimbabwe</t>
        </is>
      </c>
      <c r="G20" t="inlineStr">
        <is>
          <t>ThinkPad X1</t>
        </is>
      </c>
      <c r="H20" t="inlineStr">
        <is>
          <t>Laptop</t>
        </is>
      </c>
      <c r="I20" t="n">
        <v>1</v>
      </c>
      <c r="J20" s="3" t="n">
        <v>1400</v>
      </c>
    </row>
    <row r="21">
      <c r="A21" t="inlineStr">
        <is>
          <t>O0020</t>
        </is>
      </c>
      <c r="B21" s="2" t="n">
        <v>45306</v>
      </c>
      <c r="C21" t="n">
        <v>2024</v>
      </c>
      <c r="D21" t="inlineStr">
        <is>
          <t>Jan</t>
        </is>
      </c>
      <c r="E21" t="inlineStr">
        <is>
          <t>Rutendo Chikafu</t>
        </is>
      </c>
      <c r="F21" t="inlineStr">
        <is>
          <t>Zimbabwe</t>
        </is>
      </c>
      <c r="G21" t="inlineStr">
        <is>
          <t>OnePlus 13</t>
        </is>
      </c>
      <c r="H21" t="inlineStr">
        <is>
          <t>Smartphone</t>
        </is>
      </c>
      <c r="I21" t="n">
        <v>1</v>
      </c>
      <c r="J21" s="3" t="n">
        <v>600</v>
      </c>
    </row>
    <row r="22">
      <c r="A22" t="inlineStr">
        <is>
          <t>O0021</t>
        </is>
      </c>
      <c r="B22" s="2" t="n">
        <v>45939</v>
      </c>
      <c r="C22" t="n">
        <v>2025</v>
      </c>
      <c r="D22" t="inlineStr">
        <is>
          <t>Oct</t>
        </is>
      </c>
      <c r="E22" t="inlineStr">
        <is>
          <t>Kudzai Sibanda</t>
        </is>
      </c>
      <c r="F22" t="inlineStr">
        <is>
          <t>Zimbabwe</t>
        </is>
      </c>
      <c r="G22" t="inlineStr">
        <is>
          <t>Galaxy Tab S10</t>
        </is>
      </c>
      <c r="H22" t="inlineStr">
        <is>
          <t>Tablet</t>
        </is>
      </c>
      <c r="I22" t="n">
        <v>3</v>
      </c>
      <c r="J22" s="3" t="n">
        <v>1500</v>
      </c>
    </row>
    <row r="23">
      <c r="A23" t="inlineStr">
        <is>
          <t>O0022</t>
        </is>
      </c>
      <c r="B23" s="2" t="n">
        <v>45884</v>
      </c>
      <c r="C23" t="n">
        <v>2025</v>
      </c>
      <c r="D23" t="inlineStr">
        <is>
          <t>Aug</t>
        </is>
      </c>
      <c r="E23" t="inlineStr">
        <is>
          <t>Chanda Phiri</t>
        </is>
      </c>
      <c r="F23" t="inlineStr">
        <is>
          <t>Zambia</t>
        </is>
      </c>
      <c r="G23" t="inlineStr">
        <is>
          <t>iPad Air 6</t>
        </is>
      </c>
      <c r="H23" t="inlineStr">
        <is>
          <t>Tablet</t>
        </is>
      </c>
      <c r="I23" t="n">
        <v>1</v>
      </c>
      <c r="J23" s="3" t="n">
        <v>700</v>
      </c>
    </row>
    <row r="24">
      <c r="A24" t="inlineStr">
        <is>
          <t>O0023</t>
        </is>
      </c>
      <c r="B24" s="2" t="n">
        <v>45522</v>
      </c>
      <c r="C24" t="n">
        <v>2024</v>
      </c>
      <c r="D24" t="inlineStr">
        <is>
          <t>Aug</t>
        </is>
      </c>
      <c r="E24" t="inlineStr">
        <is>
          <t>Chanda Phiri</t>
        </is>
      </c>
      <c r="F24" t="inlineStr">
        <is>
          <t>Zambia</t>
        </is>
      </c>
      <c r="G24" t="inlineStr">
        <is>
          <t>Google Nest Hub 3</t>
        </is>
      </c>
      <c r="H24" t="inlineStr">
        <is>
          <t>Smart Home</t>
        </is>
      </c>
      <c r="I24" t="n">
        <v>2</v>
      </c>
      <c r="J24" s="3" t="n">
        <v>300</v>
      </c>
    </row>
    <row r="25">
      <c r="A25" t="inlineStr">
        <is>
          <t>O0024</t>
        </is>
      </c>
      <c r="B25" s="2" t="n">
        <v>46343</v>
      </c>
      <c r="C25" t="n">
        <v>2026</v>
      </c>
      <c r="D25" t="inlineStr">
        <is>
          <t>Nov</t>
        </is>
      </c>
      <c r="E25" t="inlineStr">
        <is>
          <t>Farai Ncube</t>
        </is>
      </c>
      <c r="F25" t="inlineStr">
        <is>
          <t>Zimbabwe</t>
        </is>
      </c>
      <c r="G25" t="inlineStr">
        <is>
          <t>Google Nest Hub 3</t>
        </is>
      </c>
      <c r="H25" t="inlineStr">
        <is>
          <t>Smart Home</t>
        </is>
      </c>
      <c r="I25" t="n">
        <v>2</v>
      </c>
      <c r="J25" s="3" t="n">
        <v>300</v>
      </c>
    </row>
    <row r="26">
      <c r="A26" t="inlineStr">
        <is>
          <t>O0025</t>
        </is>
      </c>
      <c r="B26" s="2" t="n">
        <v>46363</v>
      </c>
      <c r="C26" t="n">
        <v>2026</v>
      </c>
      <c r="D26" t="inlineStr">
        <is>
          <t>Dec</t>
        </is>
      </c>
      <c r="E26" t="inlineStr">
        <is>
          <t>Chanda Phiri</t>
        </is>
      </c>
      <c r="F26" t="inlineStr">
        <is>
          <t>Zambia</t>
        </is>
      </c>
      <c r="G26" t="inlineStr">
        <is>
          <t>ThinkPad X1</t>
        </is>
      </c>
      <c r="H26" t="inlineStr">
        <is>
          <t>Laptop</t>
        </is>
      </c>
      <c r="I26" t="n">
        <v>1</v>
      </c>
      <c r="J26" s="3" t="n">
        <v>1400</v>
      </c>
    </row>
    <row r="27">
      <c r="A27" t="inlineStr">
        <is>
          <t>O0026</t>
        </is>
      </c>
      <c r="B27" s="2" t="n">
        <v>46017</v>
      </c>
      <c r="C27" t="n">
        <v>2025</v>
      </c>
      <c r="D27" t="inlineStr">
        <is>
          <t>Dec</t>
        </is>
      </c>
      <c r="E27" t="inlineStr">
        <is>
          <t>Tendai Moyo</t>
        </is>
      </c>
      <c r="F27" t="inlineStr">
        <is>
          <t>Zimbabwe</t>
        </is>
      </c>
      <c r="G27" t="inlineStr">
        <is>
          <t>Echo Dot 6</t>
        </is>
      </c>
      <c r="H27" t="inlineStr">
        <is>
          <t>Smart Home</t>
        </is>
      </c>
      <c r="I27" t="n">
        <v>1</v>
      </c>
      <c r="J27" s="3" t="n">
        <v>100</v>
      </c>
    </row>
    <row r="28">
      <c r="A28" t="inlineStr">
        <is>
          <t>O0027</t>
        </is>
      </c>
      <c r="B28" s="2" t="n">
        <v>46252</v>
      </c>
      <c r="C28" t="n">
        <v>2026</v>
      </c>
      <c r="D28" t="inlineStr">
        <is>
          <t>Aug</t>
        </is>
      </c>
      <c r="E28" t="inlineStr">
        <is>
          <t>Simbarashe Mutasa</t>
        </is>
      </c>
      <c r="F28" t="inlineStr">
        <is>
          <t>Zimbabwe</t>
        </is>
      </c>
      <c r="G28" t="inlineStr">
        <is>
          <t>MacBook Air M4</t>
        </is>
      </c>
      <c r="H28" t="inlineStr">
        <is>
          <t>Laptop</t>
        </is>
      </c>
      <c r="I28" t="n">
        <v>1</v>
      </c>
      <c r="J28" s="3" t="n">
        <v>1000</v>
      </c>
    </row>
    <row r="29">
      <c r="A29" t="inlineStr">
        <is>
          <t>O0028</t>
        </is>
      </c>
      <c r="B29" s="2" t="n">
        <v>46162</v>
      </c>
      <c r="C29" t="n">
        <v>2026</v>
      </c>
      <c r="D29" t="inlineStr">
        <is>
          <t>May</t>
        </is>
      </c>
      <c r="E29" t="inlineStr">
        <is>
          <t>Chipo Marufu</t>
        </is>
      </c>
      <c r="F29" t="inlineStr">
        <is>
          <t>Zimbabwe</t>
        </is>
      </c>
      <c r="G29" t="inlineStr">
        <is>
          <t>Laptop Sleeve 15in</t>
        </is>
      </c>
      <c r="H29" t="inlineStr">
        <is>
          <t>Accessory</t>
        </is>
      </c>
      <c r="I29" t="n">
        <v>1</v>
      </c>
      <c r="J29" s="3" t="n">
        <v>50</v>
      </c>
    </row>
    <row r="30">
      <c r="A30" t="inlineStr">
        <is>
          <t>O0029</t>
        </is>
      </c>
      <c r="B30" s="2" t="n">
        <v>45498</v>
      </c>
      <c r="C30" t="n">
        <v>2024</v>
      </c>
      <c r="D30" t="inlineStr">
        <is>
          <t>Jul</t>
        </is>
      </c>
      <c r="E30" t="inlineStr">
        <is>
          <t>Kudzai Sibanda</t>
        </is>
      </c>
      <c r="F30" t="inlineStr">
        <is>
          <t>Zimbabwe</t>
        </is>
      </c>
      <c r="G30" t="inlineStr">
        <is>
          <t>Bluetooth Headphones</t>
        </is>
      </c>
      <c r="H30" t="inlineStr">
        <is>
          <t>Accessory</t>
        </is>
      </c>
      <c r="I30" t="n">
        <v>2</v>
      </c>
      <c r="J30" s="3" t="n">
        <v>240</v>
      </c>
    </row>
    <row r="31">
      <c r="A31" t="inlineStr">
        <is>
          <t>O0030</t>
        </is>
      </c>
      <c r="B31" s="2" t="n">
        <v>46183</v>
      </c>
      <c r="C31" t="n">
        <v>2026</v>
      </c>
      <c r="D31" t="inlineStr">
        <is>
          <t>Jun</t>
        </is>
      </c>
      <c r="E31" t="inlineStr">
        <is>
          <t>Simbarashe Mutasa</t>
        </is>
      </c>
      <c r="F31" t="inlineStr">
        <is>
          <t>Zimbabwe</t>
        </is>
      </c>
      <c r="G31" t="inlineStr">
        <is>
          <t>Ring Doorbell Pro</t>
        </is>
      </c>
      <c r="H31" t="inlineStr">
        <is>
          <t>Smart Home</t>
        </is>
      </c>
      <c r="I31" t="n">
        <v>1</v>
      </c>
      <c r="J31" s="3" t="n">
        <v>200</v>
      </c>
    </row>
    <row r="32">
      <c r="A32" t="inlineStr">
        <is>
          <t>O0031</t>
        </is>
      </c>
      <c r="B32" s="2" t="n">
        <v>45855</v>
      </c>
      <c r="C32" t="n">
        <v>2025</v>
      </c>
      <c r="D32" t="inlineStr">
        <is>
          <t>Jul</t>
        </is>
      </c>
      <c r="E32" t="inlineStr">
        <is>
          <t>Nyasha Banda</t>
        </is>
      </c>
      <c r="F32" t="inlineStr">
        <is>
          <t>Zimbabwe</t>
        </is>
      </c>
      <c r="G32" t="inlineStr">
        <is>
          <t>USB-C Hub 7in1</t>
        </is>
      </c>
      <c r="H32" t="inlineStr">
        <is>
          <t>Accessory</t>
        </is>
      </c>
      <c r="I32" t="n">
        <v>1</v>
      </c>
      <c r="J32" s="3" t="n">
        <v>80</v>
      </c>
    </row>
    <row r="33">
      <c r="A33" t="inlineStr">
        <is>
          <t>O0032</t>
        </is>
      </c>
      <c r="B33" s="2" t="n">
        <v>45776</v>
      </c>
      <c r="C33" t="n">
        <v>2025</v>
      </c>
      <c r="D33" t="inlineStr">
        <is>
          <t>Apr</t>
        </is>
      </c>
      <c r="E33" t="inlineStr">
        <is>
          <t>Rutendo Chikafu</t>
        </is>
      </c>
      <c r="F33" t="inlineStr">
        <is>
          <t>Zimbabwe</t>
        </is>
      </c>
      <c r="G33" t="inlineStr">
        <is>
          <t>Google Nest Hub 3</t>
        </is>
      </c>
      <c r="H33" t="inlineStr">
        <is>
          <t>Smart Home</t>
        </is>
      </c>
      <c r="I33" t="n">
        <v>1</v>
      </c>
      <c r="J33" s="3" t="n">
        <v>150</v>
      </c>
    </row>
    <row r="34">
      <c r="A34" t="inlineStr">
        <is>
          <t>O0033</t>
        </is>
      </c>
      <c r="B34" s="2" t="n">
        <v>46040</v>
      </c>
      <c r="C34" t="n">
        <v>2026</v>
      </c>
      <c r="D34" t="inlineStr">
        <is>
          <t>Jan</t>
        </is>
      </c>
      <c r="E34" t="inlineStr">
        <is>
          <t>Tendai Moyo</t>
        </is>
      </c>
      <c r="F34" t="inlineStr">
        <is>
          <t>Zimbabwe</t>
        </is>
      </c>
      <c r="G34" t="inlineStr">
        <is>
          <t>Ring Doorbell Pro</t>
        </is>
      </c>
      <c r="H34" t="inlineStr">
        <is>
          <t>Smart Home</t>
        </is>
      </c>
      <c r="I34" t="n">
        <v>1</v>
      </c>
      <c r="J34" s="3" t="n">
        <v>200</v>
      </c>
    </row>
    <row r="35">
      <c r="A35" t="inlineStr">
        <is>
          <t>O0034</t>
        </is>
      </c>
      <c r="B35" s="2" t="n">
        <v>45832</v>
      </c>
      <c r="C35" t="n">
        <v>2025</v>
      </c>
      <c r="D35" t="inlineStr">
        <is>
          <t>Jun</t>
        </is>
      </c>
      <c r="E35" t="inlineStr">
        <is>
          <t>Amara Otieno</t>
        </is>
      </c>
      <c r="F35" t="inlineStr">
        <is>
          <t>Kenya</t>
        </is>
      </c>
      <c r="G35" t="inlineStr">
        <is>
          <t>Google Nest Hub 3</t>
        </is>
      </c>
      <c r="H35" t="inlineStr">
        <is>
          <t>Smart Home</t>
        </is>
      </c>
      <c r="I35" t="n">
        <v>2</v>
      </c>
      <c r="J35" s="3" t="n">
        <v>300</v>
      </c>
    </row>
    <row r="36">
      <c r="A36" t="inlineStr">
        <is>
          <t>O0035</t>
        </is>
      </c>
      <c r="B36" s="2" t="n">
        <v>46343</v>
      </c>
      <c r="C36" t="n">
        <v>2026</v>
      </c>
      <c r="D36" t="inlineStr">
        <is>
          <t>Nov</t>
        </is>
      </c>
      <c r="E36" t="inlineStr">
        <is>
          <t>Kagiso Molefe</t>
        </is>
      </c>
      <c r="F36" t="inlineStr">
        <is>
          <t>Botswana</t>
        </is>
      </c>
      <c r="G36" t="inlineStr">
        <is>
          <t>Google Nest Hub 3</t>
        </is>
      </c>
      <c r="H36" t="inlineStr">
        <is>
          <t>Smart Home</t>
        </is>
      </c>
      <c r="I36" t="n">
        <v>1</v>
      </c>
      <c r="J36" s="3" t="n">
        <v>150</v>
      </c>
    </row>
    <row r="37">
      <c r="A37" t="inlineStr">
        <is>
          <t>O0036</t>
        </is>
      </c>
      <c r="B37" s="2" t="n">
        <v>45481</v>
      </c>
      <c r="C37" t="n">
        <v>2024</v>
      </c>
      <c r="D37" t="inlineStr">
        <is>
          <t>Jul</t>
        </is>
      </c>
      <c r="E37" t="inlineStr">
        <is>
          <t>Kudzai Sibanda</t>
        </is>
      </c>
      <c r="F37" t="inlineStr">
        <is>
          <t>Zimbabwe</t>
        </is>
      </c>
      <c r="G37" t="inlineStr">
        <is>
          <t>Wireless Mouse Pro</t>
        </is>
      </c>
      <c r="H37" t="inlineStr">
        <is>
          <t>Accessory</t>
        </is>
      </c>
      <c r="I37" t="n">
        <v>1</v>
      </c>
      <c r="J37" s="3" t="n">
        <v>60</v>
      </c>
    </row>
    <row r="38">
      <c r="A38" t="inlineStr">
        <is>
          <t>O0037</t>
        </is>
      </c>
      <c r="B38" s="2" t="n">
        <v>46001</v>
      </c>
      <c r="C38" t="n">
        <v>2025</v>
      </c>
      <c r="D38" t="inlineStr">
        <is>
          <t>Dec</t>
        </is>
      </c>
      <c r="E38" t="inlineStr">
        <is>
          <t>Simbarashe Mutasa</t>
        </is>
      </c>
      <c r="F38" t="inlineStr">
        <is>
          <t>Zimbabwe</t>
        </is>
      </c>
      <c r="G38" t="inlineStr">
        <is>
          <t>Dell XPS 15</t>
        </is>
      </c>
      <c r="H38" t="inlineStr">
        <is>
          <t>Laptop</t>
        </is>
      </c>
      <c r="I38" t="n">
        <v>4</v>
      </c>
      <c r="J38" s="3" t="n">
        <v>6000</v>
      </c>
    </row>
    <row r="39">
      <c r="A39" t="inlineStr">
        <is>
          <t>O0038</t>
        </is>
      </c>
      <c r="B39" s="2" t="n">
        <v>45940</v>
      </c>
      <c r="C39" t="n">
        <v>2025</v>
      </c>
      <c r="D39" t="inlineStr">
        <is>
          <t>Oct</t>
        </is>
      </c>
      <c r="E39" t="inlineStr">
        <is>
          <t>Amara Otieno</t>
        </is>
      </c>
      <c r="F39" t="inlineStr">
        <is>
          <t>Kenya</t>
        </is>
      </c>
      <c r="G39" t="inlineStr">
        <is>
          <t>OnePlus 13</t>
        </is>
      </c>
      <c r="H39" t="inlineStr">
        <is>
          <t>Smartphone</t>
        </is>
      </c>
      <c r="I39" t="n">
        <v>2</v>
      </c>
      <c r="J39" s="3" t="n">
        <v>1200</v>
      </c>
    </row>
    <row r="40">
      <c r="A40" t="inlineStr">
        <is>
          <t>O0039</t>
        </is>
      </c>
      <c r="B40" s="2" t="n">
        <v>45975</v>
      </c>
      <c r="C40" t="n">
        <v>2025</v>
      </c>
      <c r="D40" t="inlineStr">
        <is>
          <t>Nov</t>
        </is>
      </c>
      <c r="E40" t="inlineStr">
        <is>
          <t>Rutendo Chikafu</t>
        </is>
      </c>
      <c r="F40" t="inlineStr">
        <is>
          <t>Zimbabwe</t>
        </is>
      </c>
      <c r="G40" t="inlineStr">
        <is>
          <t>iPad Air 6</t>
        </is>
      </c>
      <c r="H40" t="inlineStr">
        <is>
          <t>Tablet</t>
        </is>
      </c>
      <c r="I40" t="n">
        <v>1</v>
      </c>
      <c r="J40" s="3" t="n">
        <v>700</v>
      </c>
    </row>
    <row r="41">
      <c r="A41" t="inlineStr">
        <is>
          <t>O0040</t>
        </is>
      </c>
      <c r="B41" s="2" t="n">
        <v>46243</v>
      </c>
      <c r="C41" t="n">
        <v>2026</v>
      </c>
      <c r="D41" t="inlineStr">
        <is>
          <t>Aug</t>
        </is>
      </c>
      <c r="E41" t="inlineStr">
        <is>
          <t>Farai Ncube</t>
        </is>
      </c>
      <c r="F41" t="inlineStr">
        <is>
          <t>Zimbabwe</t>
        </is>
      </c>
      <c r="G41" t="inlineStr">
        <is>
          <t>Ring Doorbell Pro</t>
        </is>
      </c>
      <c r="H41" t="inlineStr">
        <is>
          <t>Smart Home</t>
        </is>
      </c>
      <c r="I41" t="n">
        <v>1</v>
      </c>
      <c r="J41" s="3" t="n">
        <v>200</v>
      </c>
    </row>
    <row r="42">
      <c r="A42" t="inlineStr">
        <is>
          <t>O0041</t>
        </is>
      </c>
      <c r="B42" s="2" t="n">
        <v>45511</v>
      </c>
      <c r="C42" t="n">
        <v>2024</v>
      </c>
      <c r="D42" t="inlineStr">
        <is>
          <t>Aug</t>
        </is>
      </c>
      <c r="E42" t="inlineStr">
        <is>
          <t>Amara Otieno</t>
        </is>
      </c>
      <c r="F42" t="inlineStr">
        <is>
          <t>Kenya</t>
        </is>
      </c>
      <c r="G42" t="inlineStr">
        <is>
          <t>Echo Dot 6</t>
        </is>
      </c>
      <c r="H42" t="inlineStr">
        <is>
          <t>Smart Home</t>
        </is>
      </c>
      <c r="I42" t="n">
        <v>1</v>
      </c>
      <c r="J42" s="3" t="n">
        <v>100</v>
      </c>
    </row>
    <row r="43">
      <c r="A43" t="inlineStr">
        <is>
          <t>O0042</t>
        </is>
      </c>
      <c r="B43" s="2" t="n">
        <v>45676</v>
      </c>
      <c r="C43" t="n">
        <v>2025</v>
      </c>
      <c r="D43" t="inlineStr">
        <is>
          <t>Jan</t>
        </is>
      </c>
      <c r="E43" t="inlineStr">
        <is>
          <t>Tendai Moyo</t>
        </is>
      </c>
      <c r="F43" t="inlineStr">
        <is>
          <t>Zimbabwe</t>
        </is>
      </c>
      <c r="G43" t="inlineStr">
        <is>
          <t>Galaxy S24</t>
        </is>
      </c>
      <c r="H43" t="inlineStr">
        <is>
          <t>Smartphone</t>
        </is>
      </c>
      <c r="I43" t="n">
        <v>1</v>
      </c>
      <c r="J43" s="3" t="n">
        <v>800</v>
      </c>
    </row>
    <row r="44">
      <c r="A44" t="inlineStr">
        <is>
          <t>O0043</t>
        </is>
      </c>
      <c r="B44" s="2" t="n">
        <v>46368</v>
      </c>
      <c r="C44" t="n">
        <v>2026</v>
      </c>
      <c r="D44" t="inlineStr">
        <is>
          <t>Dec</t>
        </is>
      </c>
      <c r="E44" t="inlineStr">
        <is>
          <t>Tendai Moyo</t>
        </is>
      </c>
      <c r="F44" t="inlineStr">
        <is>
          <t>Zimbabwe</t>
        </is>
      </c>
      <c r="G44" t="inlineStr">
        <is>
          <t>Dell XPS 15</t>
        </is>
      </c>
      <c r="H44" t="inlineStr">
        <is>
          <t>Laptop</t>
        </is>
      </c>
      <c r="I44" t="n">
        <v>1</v>
      </c>
      <c r="J44" s="3" t="n">
        <v>1500</v>
      </c>
    </row>
    <row r="45">
      <c r="A45" t="inlineStr">
        <is>
          <t>O0044</t>
        </is>
      </c>
      <c r="B45" s="2" t="n">
        <v>45538</v>
      </c>
      <c r="C45" t="n">
        <v>2024</v>
      </c>
      <c r="D45" t="inlineStr">
        <is>
          <t>Sep</t>
        </is>
      </c>
      <c r="E45" t="inlineStr">
        <is>
          <t>Farai Ncube</t>
        </is>
      </c>
      <c r="F45" t="inlineStr">
        <is>
          <t>Zimbabwe</t>
        </is>
      </c>
      <c r="G45" t="inlineStr">
        <is>
          <t>Galaxy S24</t>
        </is>
      </c>
      <c r="H45" t="inlineStr">
        <is>
          <t>Smartphone</t>
        </is>
      </c>
      <c r="I45" t="n">
        <v>1</v>
      </c>
      <c r="J45" s="3" t="n">
        <v>800</v>
      </c>
    </row>
    <row r="46">
      <c r="A46" t="inlineStr">
        <is>
          <t>O0045</t>
        </is>
      </c>
      <c r="B46" s="2" t="n">
        <v>45494</v>
      </c>
      <c r="C46" t="n">
        <v>2024</v>
      </c>
      <c r="D46" t="inlineStr">
        <is>
          <t>Jul</t>
        </is>
      </c>
      <c r="E46" t="inlineStr">
        <is>
          <t>Kagiso Molefe</t>
        </is>
      </c>
      <c r="F46" t="inlineStr">
        <is>
          <t>Botswana</t>
        </is>
      </c>
      <c r="G46" t="inlineStr">
        <is>
          <t>iPhone 16</t>
        </is>
      </c>
      <c r="H46" t="inlineStr">
        <is>
          <t>Smartphone</t>
        </is>
      </c>
      <c r="I46" t="n">
        <v>1</v>
      </c>
      <c r="J46" s="3" t="n">
        <v>1000</v>
      </c>
    </row>
    <row r="47">
      <c r="A47" t="inlineStr">
        <is>
          <t>O0046</t>
        </is>
      </c>
      <c r="B47" s="2" t="n">
        <v>45571</v>
      </c>
      <c r="C47" t="n">
        <v>2024</v>
      </c>
      <c r="D47" t="inlineStr">
        <is>
          <t>Oct</t>
        </is>
      </c>
      <c r="E47" t="inlineStr">
        <is>
          <t>Chipo Marufu</t>
        </is>
      </c>
      <c r="F47" t="inlineStr">
        <is>
          <t>Zimbabwe</t>
        </is>
      </c>
      <c r="G47" t="inlineStr">
        <is>
          <t>Echo Dot 6</t>
        </is>
      </c>
      <c r="H47" t="inlineStr">
        <is>
          <t>Smart Home</t>
        </is>
      </c>
      <c r="I47" t="n">
        <v>1</v>
      </c>
      <c r="J47" s="3" t="n">
        <v>100</v>
      </c>
    </row>
    <row r="48">
      <c r="A48" t="inlineStr">
        <is>
          <t>O0047</t>
        </is>
      </c>
      <c r="B48" s="2" t="n">
        <v>45489</v>
      </c>
      <c r="C48" t="n">
        <v>2024</v>
      </c>
      <c r="D48" t="inlineStr">
        <is>
          <t>Jul</t>
        </is>
      </c>
      <c r="E48" t="inlineStr">
        <is>
          <t>Amara Otieno</t>
        </is>
      </c>
      <c r="F48" t="inlineStr">
        <is>
          <t>Kenya</t>
        </is>
      </c>
      <c r="G48" t="inlineStr">
        <is>
          <t>USB-C Hub 7in1</t>
        </is>
      </c>
      <c r="H48" t="inlineStr">
        <is>
          <t>Accessory</t>
        </is>
      </c>
      <c r="I48" t="n">
        <v>3</v>
      </c>
      <c r="J48" s="3" t="n">
        <v>240</v>
      </c>
    </row>
    <row r="49">
      <c r="A49" t="inlineStr">
        <is>
          <t>O0048</t>
        </is>
      </c>
      <c r="B49" s="2" t="n">
        <v>45478</v>
      </c>
      <c r="C49" t="n">
        <v>2024</v>
      </c>
      <c r="D49" t="inlineStr">
        <is>
          <t>Jul</t>
        </is>
      </c>
      <c r="E49" t="inlineStr">
        <is>
          <t>Farai Ncube</t>
        </is>
      </c>
      <c r="F49" t="inlineStr">
        <is>
          <t>Zimbabwe</t>
        </is>
      </c>
      <c r="G49" t="inlineStr">
        <is>
          <t>HP Spectre x360</t>
        </is>
      </c>
      <c r="H49" t="inlineStr">
        <is>
          <t>Laptop</t>
        </is>
      </c>
      <c r="I49" t="n">
        <v>1</v>
      </c>
      <c r="J49" s="3" t="n">
        <v>1200</v>
      </c>
    </row>
    <row r="50">
      <c r="A50" t="inlineStr">
        <is>
          <t>O0049</t>
        </is>
      </c>
      <c r="B50" s="2" t="n">
        <v>45951</v>
      </c>
      <c r="C50" t="n">
        <v>2025</v>
      </c>
      <c r="D50" t="inlineStr">
        <is>
          <t>Oct</t>
        </is>
      </c>
      <c r="E50" t="inlineStr">
        <is>
          <t>Tendai Moyo</t>
        </is>
      </c>
      <c r="F50" t="inlineStr">
        <is>
          <t>Zimbabwe</t>
        </is>
      </c>
      <c r="G50" t="inlineStr">
        <is>
          <t>ThinkPad X1</t>
        </is>
      </c>
      <c r="H50" t="inlineStr">
        <is>
          <t>Laptop</t>
        </is>
      </c>
      <c r="I50" t="n">
        <v>1</v>
      </c>
      <c r="J50" s="3" t="n">
        <v>1400</v>
      </c>
    </row>
    <row r="51">
      <c r="A51" t="inlineStr">
        <is>
          <t>O0050</t>
        </is>
      </c>
      <c r="B51" s="2" t="n">
        <v>45438</v>
      </c>
      <c r="C51" t="n">
        <v>2024</v>
      </c>
      <c r="D51" t="inlineStr">
        <is>
          <t>May</t>
        </is>
      </c>
      <c r="E51" t="inlineStr">
        <is>
          <t>Tendai Moyo</t>
        </is>
      </c>
      <c r="F51" t="inlineStr">
        <is>
          <t>Zimbabwe</t>
        </is>
      </c>
      <c r="G51" t="inlineStr">
        <is>
          <t>Laptop Sleeve 15in</t>
        </is>
      </c>
      <c r="H51" t="inlineStr">
        <is>
          <t>Accessory</t>
        </is>
      </c>
      <c r="I51" t="n">
        <v>1</v>
      </c>
      <c r="J51" s="3" t="n">
        <v>50</v>
      </c>
    </row>
    <row r="52">
      <c r="A52" t="inlineStr">
        <is>
          <t>O0051</t>
        </is>
      </c>
      <c r="B52" s="2" t="n">
        <v>45764</v>
      </c>
      <c r="C52" t="n">
        <v>2025</v>
      </c>
      <c r="D52" t="inlineStr">
        <is>
          <t>Apr</t>
        </is>
      </c>
      <c r="E52" t="inlineStr">
        <is>
          <t>Simbarashe Mutasa</t>
        </is>
      </c>
      <c r="F52" t="inlineStr">
        <is>
          <t>Zimbabwe</t>
        </is>
      </c>
      <c r="G52" t="inlineStr">
        <is>
          <t>iPad Air 6</t>
        </is>
      </c>
      <c r="H52" t="inlineStr">
        <is>
          <t>Tablet</t>
        </is>
      </c>
      <c r="I52" t="n">
        <v>4</v>
      </c>
      <c r="J52" s="3" t="n">
        <v>2800</v>
      </c>
    </row>
    <row r="53">
      <c r="A53" t="inlineStr">
        <is>
          <t>O0052</t>
        </is>
      </c>
      <c r="B53" s="2" t="n">
        <v>45554</v>
      </c>
      <c r="C53" t="n">
        <v>2024</v>
      </c>
      <c r="D53" t="inlineStr">
        <is>
          <t>Sep</t>
        </is>
      </c>
      <c r="E53" t="inlineStr">
        <is>
          <t>Chanda Phiri</t>
        </is>
      </c>
      <c r="F53" t="inlineStr">
        <is>
          <t>Zambia</t>
        </is>
      </c>
      <c r="G53" t="inlineStr">
        <is>
          <t>Dell XPS 15</t>
        </is>
      </c>
      <c r="H53" t="inlineStr">
        <is>
          <t>Laptop</t>
        </is>
      </c>
      <c r="I53" t="n">
        <v>1</v>
      </c>
      <c r="J53" s="3" t="n">
        <v>1500</v>
      </c>
    </row>
    <row r="54">
      <c r="A54" t="inlineStr">
        <is>
          <t>O0053</t>
        </is>
      </c>
      <c r="B54" s="2" t="n">
        <v>46172</v>
      </c>
      <c r="C54" t="n">
        <v>2026</v>
      </c>
      <c r="D54" t="inlineStr">
        <is>
          <t>May</t>
        </is>
      </c>
      <c r="E54" t="inlineStr">
        <is>
          <t>Kagiso Molefe</t>
        </is>
      </c>
      <c r="F54" t="inlineStr">
        <is>
          <t>Botswana</t>
        </is>
      </c>
      <c r="G54" t="inlineStr">
        <is>
          <t>Pixel 9 Pro</t>
        </is>
      </c>
      <c r="H54" t="inlineStr">
        <is>
          <t>Smartphone</t>
        </is>
      </c>
      <c r="I54" t="n">
        <v>1</v>
      </c>
      <c r="J54" s="3" t="n">
        <v>900</v>
      </c>
    </row>
    <row r="55">
      <c r="A55" t="inlineStr">
        <is>
          <t>O0054</t>
        </is>
      </c>
      <c r="B55" s="2" t="n">
        <v>46352</v>
      </c>
      <c r="C55" t="n">
        <v>2026</v>
      </c>
      <c r="D55" t="inlineStr">
        <is>
          <t>Nov</t>
        </is>
      </c>
      <c r="E55" t="inlineStr">
        <is>
          <t>Amara Otieno</t>
        </is>
      </c>
      <c r="F55" t="inlineStr">
        <is>
          <t>Kenya</t>
        </is>
      </c>
      <c r="G55" t="inlineStr">
        <is>
          <t>Dell XPS 15</t>
        </is>
      </c>
      <c r="H55" t="inlineStr">
        <is>
          <t>Laptop</t>
        </is>
      </c>
      <c r="I55" t="n">
        <v>4</v>
      </c>
      <c r="J55" s="3" t="n">
        <v>6000</v>
      </c>
    </row>
    <row r="56">
      <c r="A56" t="inlineStr">
        <is>
          <t>O0055</t>
        </is>
      </c>
      <c r="B56" s="2" t="n">
        <v>46306</v>
      </c>
      <c r="C56" t="n">
        <v>2026</v>
      </c>
      <c r="D56" t="inlineStr">
        <is>
          <t>Oct</t>
        </is>
      </c>
      <c r="E56" t="inlineStr">
        <is>
          <t>Amara Otieno</t>
        </is>
      </c>
      <c r="F56" t="inlineStr">
        <is>
          <t>Kenya</t>
        </is>
      </c>
      <c r="G56" t="inlineStr">
        <is>
          <t>Surface Go 4</t>
        </is>
      </c>
      <c r="H56" t="inlineStr">
        <is>
          <t>Tablet</t>
        </is>
      </c>
      <c r="I56" t="n">
        <v>3</v>
      </c>
      <c r="J56" s="3" t="n">
        <v>1800</v>
      </c>
    </row>
    <row r="57">
      <c r="A57" t="inlineStr">
        <is>
          <t>O0056</t>
        </is>
      </c>
      <c r="B57" s="2" t="n">
        <v>45919</v>
      </c>
      <c r="C57" t="n">
        <v>2025</v>
      </c>
      <c r="D57" t="inlineStr">
        <is>
          <t>Sep</t>
        </is>
      </c>
      <c r="E57" t="inlineStr">
        <is>
          <t>Rutendo Chikafu</t>
        </is>
      </c>
      <c r="F57" t="inlineStr">
        <is>
          <t>Zimbabwe</t>
        </is>
      </c>
      <c r="G57" t="inlineStr">
        <is>
          <t>USB-C Hub 7in1</t>
        </is>
      </c>
      <c r="H57" t="inlineStr">
        <is>
          <t>Accessory</t>
        </is>
      </c>
      <c r="I57" t="n">
        <v>2</v>
      </c>
      <c r="J57" s="3" t="n">
        <v>160</v>
      </c>
    </row>
    <row r="58">
      <c r="A58" t="inlineStr">
        <is>
          <t>O0057</t>
        </is>
      </c>
      <c r="B58" s="2" t="n">
        <v>45444</v>
      </c>
      <c r="C58" t="n">
        <v>2024</v>
      </c>
      <c r="D58" t="inlineStr">
        <is>
          <t>Jun</t>
        </is>
      </c>
      <c r="E58" t="inlineStr">
        <is>
          <t>Farai Ncube</t>
        </is>
      </c>
      <c r="F58" t="inlineStr">
        <is>
          <t>Zimbabwe</t>
        </is>
      </c>
      <c r="G58" t="inlineStr">
        <is>
          <t>Bluetooth Headphones</t>
        </is>
      </c>
      <c r="H58" t="inlineStr">
        <is>
          <t>Accessory</t>
        </is>
      </c>
      <c r="I58" t="n">
        <v>1</v>
      </c>
      <c r="J58" s="3" t="n">
        <v>120</v>
      </c>
    </row>
    <row r="59">
      <c r="A59" t="inlineStr">
        <is>
          <t>O0058</t>
        </is>
      </c>
      <c r="B59" s="2" t="n">
        <v>46169</v>
      </c>
      <c r="C59" t="n">
        <v>2026</v>
      </c>
      <c r="D59" t="inlineStr">
        <is>
          <t>May</t>
        </is>
      </c>
      <c r="E59" t="inlineStr">
        <is>
          <t>Rutendo Chikafu</t>
        </is>
      </c>
      <c r="F59" t="inlineStr">
        <is>
          <t>Zimbabwe</t>
        </is>
      </c>
      <c r="G59" t="inlineStr">
        <is>
          <t>Laptop Sleeve 15in</t>
        </is>
      </c>
      <c r="H59" t="inlineStr">
        <is>
          <t>Accessory</t>
        </is>
      </c>
      <c r="I59" t="n">
        <v>1</v>
      </c>
      <c r="J59" s="3" t="n">
        <v>50</v>
      </c>
    </row>
    <row r="60">
      <c r="A60" t="inlineStr">
        <is>
          <t>O0059</t>
        </is>
      </c>
      <c r="B60" s="2" t="n">
        <v>46113</v>
      </c>
      <c r="C60" t="n">
        <v>2026</v>
      </c>
      <c r="D60" t="inlineStr">
        <is>
          <t>Apr</t>
        </is>
      </c>
      <c r="E60" t="inlineStr">
        <is>
          <t>Farai Ncube</t>
        </is>
      </c>
      <c r="F60" t="inlineStr">
        <is>
          <t>Zimbabwe</t>
        </is>
      </c>
      <c r="G60" t="inlineStr">
        <is>
          <t>HP Spectre x360</t>
        </is>
      </c>
      <c r="H60" t="inlineStr">
        <is>
          <t>Laptop</t>
        </is>
      </c>
      <c r="I60" t="n">
        <v>2</v>
      </c>
      <c r="J60" s="3" t="n">
        <v>2400</v>
      </c>
    </row>
    <row r="61">
      <c r="A61" t="inlineStr">
        <is>
          <t>O0060</t>
        </is>
      </c>
      <c r="B61" s="2" t="n">
        <v>46248</v>
      </c>
      <c r="C61" t="n">
        <v>2026</v>
      </c>
      <c r="D61" t="inlineStr">
        <is>
          <t>Aug</t>
        </is>
      </c>
      <c r="E61" t="inlineStr">
        <is>
          <t>Nyasha Banda</t>
        </is>
      </c>
      <c r="F61" t="inlineStr">
        <is>
          <t>Zimbabwe</t>
        </is>
      </c>
      <c r="G61" t="inlineStr">
        <is>
          <t>Galaxy Tab S10</t>
        </is>
      </c>
      <c r="H61" t="inlineStr">
        <is>
          <t>Tablet</t>
        </is>
      </c>
      <c r="I61" t="n">
        <v>3</v>
      </c>
      <c r="J61" s="3" t="n">
        <v>1500</v>
      </c>
    </row>
    <row r="62">
      <c r="A62" t="inlineStr">
        <is>
          <t>O0061</t>
        </is>
      </c>
      <c r="B62" s="2" t="n">
        <v>45452</v>
      </c>
      <c r="C62" t="n">
        <v>2024</v>
      </c>
      <c r="D62" t="inlineStr">
        <is>
          <t>Jun</t>
        </is>
      </c>
      <c r="E62" t="inlineStr">
        <is>
          <t>Tendai Moyo</t>
        </is>
      </c>
      <c r="F62" t="inlineStr">
        <is>
          <t>Zimbabwe</t>
        </is>
      </c>
      <c r="G62" t="inlineStr">
        <is>
          <t>iPhone 16</t>
        </is>
      </c>
      <c r="H62" t="inlineStr">
        <is>
          <t>Smartphone</t>
        </is>
      </c>
      <c r="I62" t="n">
        <v>1</v>
      </c>
      <c r="J62" s="3" t="n">
        <v>1000</v>
      </c>
    </row>
    <row r="63">
      <c r="A63" t="inlineStr">
        <is>
          <t>O0062</t>
        </is>
      </c>
      <c r="B63" s="2" t="n">
        <v>45979</v>
      </c>
      <c r="C63" t="n">
        <v>2025</v>
      </c>
      <c r="D63" t="inlineStr">
        <is>
          <t>Nov</t>
        </is>
      </c>
      <c r="E63" t="inlineStr">
        <is>
          <t>Chanda Phiri</t>
        </is>
      </c>
      <c r="F63" t="inlineStr">
        <is>
          <t>Zambia</t>
        </is>
      </c>
      <c r="G63" t="inlineStr">
        <is>
          <t>HP Spectre x360</t>
        </is>
      </c>
      <c r="H63" t="inlineStr">
        <is>
          <t>Laptop</t>
        </is>
      </c>
      <c r="I63" t="n">
        <v>1</v>
      </c>
      <c r="J63" s="3" t="n">
        <v>1200</v>
      </c>
    </row>
    <row r="64">
      <c r="A64" t="inlineStr">
        <is>
          <t>O0063</t>
        </is>
      </c>
      <c r="B64" s="2" t="n">
        <v>45761</v>
      </c>
      <c r="C64" t="n">
        <v>2025</v>
      </c>
      <c r="D64" t="inlineStr">
        <is>
          <t>Apr</t>
        </is>
      </c>
      <c r="E64" t="inlineStr">
        <is>
          <t>Simbarashe Mutasa</t>
        </is>
      </c>
      <c r="F64" t="inlineStr">
        <is>
          <t>Zimbabwe</t>
        </is>
      </c>
      <c r="G64" t="inlineStr">
        <is>
          <t>iPad Air 6</t>
        </is>
      </c>
      <c r="H64" t="inlineStr">
        <is>
          <t>Tablet</t>
        </is>
      </c>
      <c r="I64" t="n">
        <v>1</v>
      </c>
      <c r="J64" s="3" t="n">
        <v>700</v>
      </c>
    </row>
    <row r="65">
      <c r="A65" t="inlineStr">
        <is>
          <t>O0064</t>
        </is>
      </c>
      <c r="B65" s="2" t="n">
        <v>45521</v>
      </c>
      <c r="C65" t="n">
        <v>2024</v>
      </c>
      <c r="D65" t="inlineStr">
        <is>
          <t>Aug</t>
        </is>
      </c>
      <c r="E65" t="inlineStr">
        <is>
          <t>Chanda Phiri</t>
        </is>
      </c>
      <c r="F65" t="inlineStr">
        <is>
          <t>Zambia</t>
        </is>
      </c>
      <c r="G65" t="inlineStr">
        <is>
          <t>Laptop Sleeve 15in</t>
        </is>
      </c>
      <c r="H65" t="inlineStr">
        <is>
          <t>Accessory</t>
        </is>
      </c>
      <c r="I65" t="n">
        <v>2</v>
      </c>
      <c r="J65" s="3" t="n">
        <v>100</v>
      </c>
    </row>
    <row r="66">
      <c r="A66" t="inlineStr">
        <is>
          <t>O0065</t>
        </is>
      </c>
      <c r="B66" s="2" t="n">
        <v>46170</v>
      </c>
      <c r="C66" t="n">
        <v>2026</v>
      </c>
      <c r="D66" t="inlineStr">
        <is>
          <t>May</t>
        </is>
      </c>
      <c r="E66" t="inlineStr">
        <is>
          <t>Chanda Phiri</t>
        </is>
      </c>
      <c r="F66" t="inlineStr">
        <is>
          <t>Zambia</t>
        </is>
      </c>
      <c r="G66" t="inlineStr">
        <is>
          <t>ThinkPad X1</t>
        </is>
      </c>
      <c r="H66" t="inlineStr">
        <is>
          <t>Laptop</t>
        </is>
      </c>
      <c r="I66" t="n">
        <v>1</v>
      </c>
      <c r="J66" s="3" t="n">
        <v>1400</v>
      </c>
    </row>
    <row r="67">
      <c r="A67" t="inlineStr">
        <is>
          <t>O0066</t>
        </is>
      </c>
      <c r="B67" s="2" t="n">
        <v>45744</v>
      </c>
      <c r="C67" t="n">
        <v>2025</v>
      </c>
      <c r="D67" t="inlineStr">
        <is>
          <t>Mar</t>
        </is>
      </c>
      <c r="E67" t="inlineStr">
        <is>
          <t>Chanda Phiri</t>
        </is>
      </c>
      <c r="F67" t="inlineStr">
        <is>
          <t>Zambia</t>
        </is>
      </c>
      <c r="G67" t="inlineStr">
        <is>
          <t>Dell XPS 15</t>
        </is>
      </c>
      <c r="H67" t="inlineStr">
        <is>
          <t>Laptop</t>
        </is>
      </c>
      <c r="I67" t="n">
        <v>1</v>
      </c>
      <c r="J67" s="3" t="n">
        <v>1500</v>
      </c>
    </row>
    <row r="68">
      <c r="A68" t="inlineStr">
        <is>
          <t>O0067</t>
        </is>
      </c>
      <c r="B68" s="2" t="n">
        <v>46107</v>
      </c>
      <c r="C68" t="n">
        <v>2026</v>
      </c>
      <c r="D68" t="inlineStr">
        <is>
          <t>Mar</t>
        </is>
      </c>
      <c r="E68" t="inlineStr">
        <is>
          <t>Rutendo Chikafu</t>
        </is>
      </c>
      <c r="F68" t="inlineStr">
        <is>
          <t>Zimbabwe</t>
        </is>
      </c>
      <c r="G68" t="inlineStr">
        <is>
          <t>Dell XPS 15</t>
        </is>
      </c>
      <c r="H68" t="inlineStr">
        <is>
          <t>Laptop</t>
        </is>
      </c>
      <c r="I68" t="n">
        <v>1</v>
      </c>
      <c r="J68" s="3" t="n">
        <v>1500</v>
      </c>
    </row>
    <row r="69">
      <c r="A69" t="inlineStr">
        <is>
          <t>O0068</t>
        </is>
      </c>
      <c r="B69" s="2" t="n">
        <v>45809</v>
      </c>
      <c r="C69" t="n">
        <v>2025</v>
      </c>
      <c r="D69" t="inlineStr">
        <is>
          <t>Jun</t>
        </is>
      </c>
      <c r="E69" t="inlineStr">
        <is>
          <t>Farai Ncube</t>
        </is>
      </c>
      <c r="F69" t="inlineStr">
        <is>
          <t>Zimbabwe</t>
        </is>
      </c>
      <c r="G69" t="inlineStr">
        <is>
          <t>iPad Air 6</t>
        </is>
      </c>
      <c r="H69" t="inlineStr">
        <is>
          <t>Tablet</t>
        </is>
      </c>
      <c r="I69" t="n">
        <v>1</v>
      </c>
      <c r="J69" s="3" t="n">
        <v>700</v>
      </c>
    </row>
    <row r="70">
      <c r="A70" t="inlineStr">
        <is>
          <t>O0069</t>
        </is>
      </c>
      <c r="B70" s="2" t="n">
        <v>46352</v>
      </c>
      <c r="C70" t="n">
        <v>2026</v>
      </c>
      <c r="D70" t="inlineStr">
        <is>
          <t>Nov</t>
        </is>
      </c>
      <c r="E70" t="inlineStr">
        <is>
          <t>Thabo Nkosi</t>
        </is>
      </c>
      <c r="F70" t="inlineStr">
        <is>
          <t>South Africa</t>
        </is>
      </c>
      <c r="G70" t="inlineStr">
        <is>
          <t>Pixel 9 Pro</t>
        </is>
      </c>
      <c r="H70" t="inlineStr">
        <is>
          <t>Smartphone</t>
        </is>
      </c>
      <c r="I70" t="n">
        <v>1</v>
      </c>
      <c r="J70" s="3" t="n">
        <v>900</v>
      </c>
    </row>
    <row r="71">
      <c r="A71" t="inlineStr">
        <is>
          <t>O0070</t>
        </is>
      </c>
      <c r="B71" s="2" t="n">
        <v>45788</v>
      </c>
      <c r="C71" t="n">
        <v>2025</v>
      </c>
      <c r="D71" t="inlineStr">
        <is>
          <t>May</t>
        </is>
      </c>
      <c r="E71" t="inlineStr">
        <is>
          <t>Nyasha Banda</t>
        </is>
      </c>
      <c r="F71" t="inlineStr">
        <is>
          <t>Zimbabwe</t>
        </is>
      </c>
      <c r="G71" t="inlineStr">
        <is>
          <t>Google Nest Hub 3</t>
        </is>
      </c>
      <c r="H71" t="inlineStr">
        <is>
          <t>Smart Home</t>
        </is>
      </c>
      <c r="I71" t="n">
        <v>1</v>
      </c>
      <c r="J71" s="3" t="n">
        <v>150</v>
      </c>
    </row>
    <row r="72">
      <c r="A72" t="inlineStr">
        <is>
          <t>O0071</t>
        </is>
      </c>
      <c r="B72" s="2" t="n">
        <v>46284</v>
      </c>
      <c r="C72" t="n">
        <v>2026</v>
      </c>
      <c r="D72" t="inlineStr">
        <is>
          <t>Sep</t>
        </is>
      </c>
      <c r="E72" t="inlineStr">
        <is>
          <t>Kudzai Sibanda</t>
        </is>
      </c>
      <c r="F72" t="inlineStr">
        <is>
          <t>Zimbabwe</t>
        </is>
      </c>
      <c r="G72" t="inlineStr">
        <is>
          <t>Dell XPS 15</t>
        </is>
      </c>
      <c r="H72" t="inlineStr">
        <is>
          <t>Laptop</t>
        </is>
      </c>
      <c r="I72" t="n">
        <v>2</v>
      </c>
      <c r="J72" s="3" t="n">
        <v>3000</v>
      </c>
    </row>
    <row r="73">
      <c r="A73" t="inlineStr">
        <is>
          <t>O0072</t>
        </is>
      </c>
      <c r="B73" s="2" t="n">
        <v>45544</v>
      </c>
      <c r="C73" t="n">
        <v>2024</v>
      </c>
      <c r="D73" t="inlineStr">
        <is>
          <t>Sep</t>
        </is>
      </c>
      <c r="E73" t="inlineStr">
        <is>
          <t>Chanda Phiri</t>
        </is>
      </c>
      <c r="F73" t="inlineStr">
        <is>
          <t>Zambia</t>
        </is>
      </c>
      <c r="G73" t="inlineStr">
        <is>
          <t>Galaxy Tab S10</t>
        </is>
      </c>
      <c r="H73" t="inlineStr">
        <is>
          <t>Tablet</t>
        </is>
      </c>
      <c r="I73" t="n">
        <v>1</v>
      </c>
      <c r="J73" s="3" t="n">
        <v>500</v>
      </c>
    </row>
    <row r="74">
      <c r="A74" t="inlineStr">
        <is>
          <t>O0073</t>
        </is>
      </c>
      <c r="B74" s="2" t="n">
        <v>45419</v>
      </c>
      <c r="C74" t="n">
        <v>2024</v>
      </c>
      <c r="D74" t="inlineStr">
        <is>
          <t>May</t>
        </is>
      </c>
      <c r="E74" t="inlineStr">
        <is>
          <t>Chipo Marufu</t>
        </is>
      </c>
      <c r="F74" t="inlineStr">
        <is>
          <t>Zimbabwe</t>
        </is>
      </c>
      <c r="G74" t="inlineStr">
        <is>
          <t>iPhone 16</t>
        </is>
      </c>
      <c r="H74" t="inlineStr">
        <is>
          <t>Smartphone</t>
        </is>
      </c>
      <c r="I74" t="n">
        <v>1</v>
      </c>
      <c r="J74" s="3" t="n">
        <v>1000</v>
      </c>
    </row>
    <row r="75">
      <c r="A75" t="inlineStr">
        <is>
          <t>O0074</t>
        </is>
      </c>
      <c r="B75" s="2" t="n">
        <v>45977</v>
      </c>
      <c r="C75" t="n">
        <v>2025</v>
      </c>
      <c r="D75" t="inlineStr">
        <is>
          <t>Nov</t>
        </is>
      </c>
      <c r="E75" t="inlineStr">
        <is>
          <t>Rutendo Chikafu</t>
        </is>
      </c>
      <c r="F75" t="inlineStr">
        <is>
          <t>Zimbabwe</t>
        </is>
      </c>
      <c r="G75" t="inlineStr">
        <is>
          <t>USB-C Hub 7in1</t>
        </is>
      </c>
      <c r="H75" t="inlineStr">
        <is>
          <t>Accessory</t>
        </is>
      </c>
      <c r="I75" t="n">
        <v>1</v>
      </c>
      <c r="J75" s="3" t="n">
        <v>80</v>
      </c>
    </row>
    <row r="76">
      <c r="A76" t="inlineStr">
        <is>
          <t>O0075</t>
        </is>
      </c>
      <c r="B76" s="2" t="n">
        <v>46145</v>
      </c>
      <c r="C76" t="n">
        <v>2026</v>
      </c>
      <c r="D76" t="inlineStr">
        <is>
          <t>May</t>
        </is>
      </c>
      <c r="E76" t="inlineStr">
        <is>
          <t>Kagiso Molefe</t>
        </is>
      </c>
      <c r="F76" t="inlineStr">
        <is>
          <t>Botswana</t>
        </is>
      </c>
      <c r="G76" t="inlineStr">
        <is>
          <t>OnePlus 13</t>
        </is>
      </c>
      <c r="H76" t="inlineStr">
        <is>
          <t>Smartphone</t>
        </is>
      </c>
      <c r="I76" t="n">
        <v>1</v>
      </c>
      <c r="J76" s="3" t="n">
        <v>600</v>
      </c>
    </row>
    <row r="77">
      <c r="A77" t="inlineStr">
        <is>
          <t>O0076</t>
        </is>
      </c>
      <c r="B77" s="2" t="n">
        <v>45446</v>
      </c>
      <c r="C77" t="n">
        <v>2024</v>
      </c>
      <c r="D77" t="inlineStr">
        <is>
          <t>Jun</t>
        </is>
      </c>
      <c r="E77" t="inlineStr">
        <is>
          <t>Simbarashe Mutasa</t>
        </is>
      </c>
      <c r="F77" t="inlineStr">
        <is>
          <t>Zimbabwe</t>
        </is>
      </c>
      <c r="G77" t="inlineStr">
        <is>
          <t>Dell XPS 15</t>
        </is>
      </c>
      <c r="H77" t="inlineStr">
        <is>
          <t>Laptop</t>
        </is>
      </c>
      <c r="I77" t="n">
        <v>1</v>
      </c>
      <c r="J77" s="3" t="n">
        <v>1500</v>
      </c>
    </row>
    <row r="78">
      <c r="A78" t="inlineStr">
        <is>
          <t>O0077</t>
        </is>
      </c>
      <c r="B78" s="2" t="n">
        <v>45537</v>
      </c>
      <c r="C78" t="n">
        <v>2024</v>
      </c>
      <c r="D78" t="inlineStr">
        <is>
          <t>Sep</t>
        </is>
      </c>
      <c r="E78" t="inlineStr">
        <is>
          <t>Kudzai Sibanda</t>
        </is>
      </c>
      <c r="F78" t="inlineStr">
        <is>
          <t>Zimbabwe</t>
        </is>
      </c>
      <c r="G78" t="inlineStr">
        <is>
          <t>ThinkPad X1</t>
        </is>
      </c>
      <c r="H78" t="inlineStr">
        <is>
          <t>Laptop</t>
        </is>
      </c>
      <c r="I78" t="n">
        <v>1</v>
      </c>
      <c r="J78" s="3" t="n">
        <v>1400</v>
      </c>
    </row>
    <row r="79">
      <c r="A79" t="inlineStr">
        <is>
          <t>O0078</t>
        </is>
      </c>
      <c r="B79" s="2" t="n">
        <v>46050</v>
      </c>
      <c r="C79" t="n">
        <v>2026</v>
      </c>
      <c r="D79" t="inlineStr">
        <is>
          <t>Jan</t>
        </is>
      </c>
      <c r="E79" t="inlineStr">
        <is>
          <t>Thabo Nkosi</t>
        </is>
      </c>
      <c r="F79" t="inlineStr">
        <is>
          <t>South Africa</t>
        </is>
      </c>
      <c r="G79" t="inlineStr">
        <is>
          <t>Galaxy S24</t>
        </is>
      </c>
      <c r="H79" t="inlineStr">
        <is>
          <t>Smartphone</t>
        </is>
      </c>
      <c r="I79" t="n">
        <v>1</v>
      </c>
      <c r="J79" s="3" t="n">
        <v>800</v>
      </c>
    </row>
    <row r="80">
      <c r="A80" t="inlineStr">
        <is>
          <t>O0079</t>
        </is>
      </c>
      <c r="B80" s="2" t="n">
        <v>45612</v>
      </c>
      <c r="C80" t="n">
        <v>2024</v>
      </c>
      <c r="D80" t="inlineStr">
        <is>
          <t>Nov</t>
        </is>
      </c>
      <c r="E80" t="inlineStr">
        <is>
          <t>Chipo Marufu</t>
        </is>
      </c>
      <c r="F80" t="inlineStr">
        <is>
          <t>Zimbabwe</t>
        </is>
      </c>
      <c r="G80" t="inlineStr">
        <is>
          <t>Echo Dot 6</t>
        </is>
      </c>
      <c r="H80" t="inlineStr">
        <is>
          <t>Smart Home</t>
        </is>
      </c>
      <c r="I80" t="n">
        <v>1</v>
      </c>
      <c r="J80" s="3" t="n">
        <v>100</v>
      </c>
    </row>
    <row r="81">
      <c r="A81" t="inlineStr">
        <is>
          <t>O0080</t>
        </is>
      </c>
      <c r="B81" s="2" t="n">
        <v>45691</v>
      </c>
      <c r="C81" t="n">
        <v>2025</v>
      </c>
      <c r="D81" t="inlineStr">
        <is>
          <t>Feb</t>
        </is>
      </c>
      <c r="E81" t="inlineStr">
        <is>
          <t>Thabo Nkosi</t>
        </is>
      </c>
      <c r="F81" t="inlineStr">
        <is>
          <t>South Africa</t>
        </is>
      </c>
      <c r="G81" t="inlineStr">
        <is>
          <t>Wireless Mouse Pro</t>
        </is>
      </c>
      <c r="H81" t="inlineStr">
        <is>
          <t>Accessory</t>
        </is>
      </c>
      <c r="I81" t="n">
        <v>1</v>
      </c>
      <c r="J81" s="3" t="n">
        <v>60</v>
      </c>
    </row>
    <row r="82">
      <c r="A82" t="inlineStr">
        <is>
          <t>O0081</t>
        </is>
      </c>
      <c r="B82" s="2" t="n">
        <v>45762</v>
      </c>
      <c r="C82" t="n">
        <v>2025</v>
      </c>
      <c r="D82" t="inlineStr">
        <is>
          <t>Apr</t>
        </is>
      </c>
      <c r="E82" t="inlineStr">
        <is>
          <t>Kudzai Sibanda</t>
        </is>
      </c>
      <c r="F82" t="inlineStr">
        <is>
          <t>Zimbabwe</t>
        </is>
      </c>
      <c r="G82" t="inlineStr">
        <is>
          <t>iPad Air 6</t>
        </is>
      </c>
      <c r="H82" t="inlineStr">
        <is>
          <t>Tablet</t>
        </is>
      </c>
      <c r="I82" t="n">
        <v>4</v>
      </c>
      <c r="J82" s="3" t="n">
        <v>2800</v>
      </c>
    </row>
    <row r="83">
      <c r="A83" t="inlineStr">
        <is>
          <t>O0082</t>
        </is>
      </c>
      <c r="B83" s="2" t="n">
        <v>46125</v>
      </c>
      <c r="C83" t="n">
        <v>2026</v>
      </c>
      <c r="D83" t="inlineStr">
        <is>
          <t>Apr</t>
        </is>
      </c>
      <c r="E83" t="inlineStr">
        <is>
          <t>Chanda Phiri</t>
        </is>
      </c>
      <c r="F83" t="inlineStr">
        <is>
          <t>Zambia</t>
        </is>
      </c>
      <c r="G83" t="inlineStr">
        <is>
          <t>ThinkPad X1</t>
        </is>
      </c>
      <c r="H83" t="inlineStr">
        <is>
          <t>Laptop</t>
        </is>
      </c>
      <c r="I83" t="n">
        <v>1</v>
      </c>
      <c r="J83" s="3" t="n">
        <v>1400</v>
      </c>
    </row>
    <row r="84">
      <c r="A84" t="inlineStr">
        <is>
          <t>O0083</t>
        </is>
      </c>
      <c r="B84" s="2" t="n">
        <v>46145</v>
      </c>
      <c r="C84" t="n">
        <v>2026</v>
      </c>
      <c r="D84" t="inlineStr">
        <is>
          <t>May</t>
        </is>
      </c>
      <c r="E84" t="inlineStr">
        <is>
          <t>Chipo Marufu</t>
        </is>
      </c>
      <c r="F84" t="inlineStr">
        <is>
          <t>Zimbabwe</t>
        </is>
      </c>
      <c r="G84" t="inlineStr">
        <is>
          <t>Galaxy S24</t>
        </is>
      </c>
      <c r="H84" t="inlineStr">
        <is>
          <t>Smartphone</t>
        </is>
      </c>
      <c r="I84" t="n">
        <v>2</v>
      </c>
      <c r="J84" s="3" t="n">
        <v>1600</v>
      </c>
    </row>
    <row r="85">
      <c r="A85" t="inlineStr">
        <is>
          <t>O0084</t>
        </is>
      </c>
      <c r="B85" s="2" t="n">
        <v>45596</v>
      </c>
      <c r="C85" t="n">
        <v>2024</v>
      </c>
      <c r="D85" t="inlineStr">
        <is>
          <t>Oct</t>
        </is>
      </c>
      <c r="E85" t="inlineStr">
        <is>
          <t>Thabo Nkosi</t>
        </is>
      </c>
      <c r="F85" t="inlineStr">
        <is>
          <t>South Africa</t>
        </is>
      </c>
      <c r="G85" t="inlineStr">
        <is>
          <t>iPhone 16</t>
        </is>
      </c>
      <c r="H85" t="inlineStr">
        <is>
          <t>Smartphone</t>
        </is>
      </c>
      <c r="I85" t="n">
        <v>1</v>
      </c>
      <c r="J85" s="3" t="n">
        <v>1000</v>
      </c>
    </row>
    <row r="86">
      <c r="A86" t="inlineStr">
        <is>
          <t>O0085</t>
        </is>
      </c>
      <c r="B86" s="2" t="n">
        <v>46129</v>
      </c>
      <c r="C86" t="n">
        <v>2026</v>
      </c>
      <c r="D86" t="inlineStr">
        <is>
          <t>Apr</t>
        </is>
      </c>
      <c r="E86" t="inlineStr">
        <is>
          <t>Simbarashe Mutasa</t>
        </is>
      </c>
      <c r="F86" t="inlineStr">
        <is>
          <t>Zimbabwe</t>
        </is>
      </c>
      <c r="G86" t="inlineStr">
        <is>
          <t>iPad Air 6</t>
        </is>
      </c>
      <c r="H86" t="inlineStr">
        <is>
          <t>Tablet</t>
        </is>
      </c>
      <c r="I86" t="n">
        <v>2</v>
      </c>
      <c r="J86" s="3" t="n">
        <v>1400</v>
      </c>
    </row>
    <row r="87">
      <c r="A87" t="inlineStr">
        <is>
          <t>O0086</t>
        </is>
      </c>
      <c r="B87" s="2" t="n">
        <v>46294</v>
      </c>
      <c r="C87" t="n">
        <v>2026</v>
      </c>
      <c r="D87" t="inlineStr">
        <is>
          <t>Sep</t>
        </is>
      </c>
      <c r="E87" t="inlineStr">
        <is>
          <t>Farai Ncube</t>
        </is>
      </c>
      <c r="F87" t="inlineStr">
        <is>
          <t>Zimbabwe</t>
        </is>
      </c>
      <c r="G87" t="inlineStr">
        <is>
          <t>Bluetooth Headphones</t>
        </is>
      </c>
      <c r="H87" t="inlineStr">
        <is>
          <t>Accessory</t>
        </is>
      </c>
      <c r="I87" t="n">
        <v>2</v>
      </c>
      <c r="J87" s="3" t="n">
        <v>240</v>
      </c>
    </row>
    <row r="88">
      <c r="A88" t="inlineStr">
        <is>
          <t>O0087</t>
        </is>
      </c>
      <c r="B88" s="2" t="n">
        <v>46065</v>
      </c>
      <c r="C88" t="n">
        <v>2026</v>
      </c>
      <c r="D88" t="inlineStr">
        <is>
          <t>Feb</t>
        </is>
      </c>
      <c r="E88" t="inlineStr">
        <is>
          <t>Tendai Moyo</t>
        </is>
      </c>
      <c r="F88" t="inlineStr">
        <is>
          <t>Zimbabwe</t>
        </is>
      </c>
      <c r="G88" t="inlineStr">
        <is>
          <t>Wireless Mouse Pro</t>
        </is>
      </c>
      <c r="H88" t="inlineStr">
        <is>
          <t>Accessory</t>
        </is>
      </c>
      <c r="I88" t="n">
        <v>1</v>
      </c>
      <c r="J88" s="3" t="n">
        <v>60</v>
      </c>
    </row>
    <row r="89">
      <c r="A89" t="inlineStr">
        <is>
          <t>O0088</t>
        </is>
      </c>
      <c r="B89" s="2" t="n">
        <v>46175</v>
      </c>
      <c r="C89" t="n">
        <v>2026</v>
      </c>
      <c r="D89" t="inlineStr">
        <is>
          <t>Jun</t>
        </is>
      </c>
      <c r="E89" t="inlineStr">
        <is>
          <t>Farai Ncube</t>
        </is>
      </c>
      <c r="F89" t="inlineStr">
        <is>
          <t>Zimbabwe</t>
        </is>
      </c>
      <c r="G89" t="inlineStr">
        <is>
          <t>Echo Dot 6</t>
        </is>
      </c>
      <c r="H89" t="inlineStr">
        <is>
          <t>Smart Home</t>
        </is>
      </c>
      <c r="I89" t="n">
        <v>1</v>
      </c>
      <c r="J89" s="3" t="n">
        <v>100</v>
      </c>
    </row>
    <row r="90">
      <c r="A90" t="inlineStr">
        <is>
          <t>O0089</t>
        </is>
      </c>
      <c r="B90" s="2" t="n">
        <v>45927</v>
      </c>
      <c r="C90" t="n">
        <v>2025</v>
      </c>
      <c r="D90" t="inlineStr">
        <is>
          <t>Sep</t>
        </is>
      </c>
      <c r="E90" t="inlineStr">
        <is>
          <t>Kudzai Sibanda</t>
        </is>
      </c>
      <c r="F90" t="inlineStr">
        <is>
          <t>Zimbabwe</t>
        </is>
      </c>
      <c r="G90" t="inlineStr">
        <is>
          <t>Ring Doorbell Pro</t>
        </is>
      </c>
      <c r="H90" t="inlineStr">
        <is>
          <t>Smart Home</t>
        </is>
      </c>
      <c r="I90" t="n">
        <v>1</v>
      </c>
      <c r="J90" s="3" t="n">
        <v>200</v>
      </c>
    </row>
    <row r="91">
      <c r="A91" t="inlineStr">
        <is>
          <t>O0090</t>
        </is>
      </c>
      <c r="B91" s="2" t="n">
        <v>45948</v>
      </c>
      <c r="C91" t="n">
        <v>2025</v>
      </c>
      <c r="D91" t="inlineStr">
        <is>
          <t>Oct</t>
        </is>
      </c>
      <c r="E91" t="inlineStr">
        <is>
          <t>Rutendo Chikafu</t>
        </is>
      </c>
      <c r="F91" t="inlineStr">
        <is>
          <t>Zimbabwe</t>
        </is>
      </c>
      <c r="G91" t="inlineStr">
        <is>
          <t>iPhone 16</t>
        </is>
      </c>
      <c r="H91" t="inlineStr">
        <is>
          <t>Smartphone</t>
        </is>
      </c>
      <c r="I91" t="n">
        <v>1</v>
      </c>
      <c r="J91" s="3" t="n">
        <v>1000</v>
      </c>
    </row>
    <row r="92">
      <c r="A92" t="inlineStr">
        <is>
          <t>O0091</t>
        </is>
      </c>
      <c r="B92" s="2" t="n">
        <v>46373</v>
      </c>
      <c r="C92" t="n">
        <v>2026</v>
      </c>
      <c r="D92" t="inlineStr">
        <is>
          <t>Dec</t>
        </is>
      </c>
      <c r="E92" t="inlineStr">
        <is>
          <t>Tendai Moyo</t>
        </is>
      </c>
      <c r="F92" t="inlineStr">
        <is>
          <t>Zimbabwe</t>
        </is>
      </c>
      <c r="G92" t="inlineStr">
        <is>
          <t>Galaxy S24</t>
        </is>
      </c>
      <c r="H92" t="inlineStr">
        <is>
          <t>Smartphone</t>
        </is>
      </c>
      <c r="I92" t="n">
        <v>3</v>
      </c>
      <c r="J92" s="3" t="n">
        <v>2400</v>
      </c>
    </row>
    <row r="93">
      <c r="A93" t="inlineStr">
        <is>
          <t>O0092</t>
        </is>
      </c>
      <c r="B93" s="2" t="n">
        <v>46032</v>
      </c>
      <c r="C93" t="n">
        <v>2026</v>
      </c>
      <c r="D93" t="inlineStr">
        <is>
          <t>Jan</t>
        </is>
      </c>
      <c r="E93" t="inlineStr">
        <is>
          <t>Nyasha Banda</t>
        </is>
      </c>
      <c r="F93" t="inlineStr">
        <is>
          <t>Zimbabwe</t>
        </is>
      </c>
      <c r="G93" t="inlineStr">
        <is>
          <t>USB-C Hub 7in1</t>
        </is>
      </c>
      <c r="H93" t="inlineStr">
        <is>
          <t>Accessory</t>
        </is>
      </c>
      <c r="I93" t="n">
        <v>2</v>
      </c>
      <c r="J93" s="3" t="n">
        <v>160</v>
      </c>
    </row>
    <row r="94">
      <c r="A94" t="inlineStr">
        <is>
          <t>O0093</t>
        </is>
      </c>
      <c r="B94" s="2" t="n">
        <v>46082</v>
      </c>
      <c r="C94" t="n">
        <v>2026</v>
      </c>
      <c r="D94" t="inlineStr">
        <is>
          <t>Mar</t>
        </is>
      </c>
      <c r="E94" t="inlineStr">
        <is>
          <t>Simbarashe Mutasa</t>
        </is>
      </c>
      <c r="F94" t="inlineStr">
        <is>
          <t>Zimbabwe</t>
        </is>
      </c>
      <c r="G94" t="inlineStr">
        <is>
          <t>Galaxy S24</t>
        </is>
      </c>
      <c r="H94" t="inlineStr">
        <is>
          <t>Smartphone</t>
        </is>
      </c>
      <c r="I94" t="n">
        <v>4</v>
      </c>
      <c r="J94" s="3" t="n">
        <v>3200</v>
      </c>
    </row>
    <row r="95">
      <c r="A95" t="inlineStr">
        <is>
          <t>O0094</t>
        </is>
      </c>
      <c r="B95" s="2" t="n">
        <v>46304</v>
      </c>
      <c r="C95" t="n">
        <v>2026</v>
      </c>
      <c r="D95" t="inlineStr">
        <is>
          <t>Oct</t>
        </is>
      </c>
      <c r="E95" t="inlineStr">
        <is>
          <t>Nyasha Banda</t>
        </is>
      </c>
      <c r="F95" t="inlineStr">
        <is>
          <t>Zimbabwe</t>
        </is>
      </c>
      <c r="G95" t="inlineStr">
        <is>
          <t>Galaxy Tab S10</t>
        </is>
      </c>
      <c r="H95" t="inlineStr">
        <is>
          <t>Tablet</t>
        </is>
      </c>
      <c r="I95" t="n">
        <v>1</v>
      </c>
      <c r="J95" s="3" t="n">
        <v>500</v>
      </c>
    </row>
    <row r="96">
      <c r="A96" t="inlineStr">
        <is>
          <t>O0095</t>
        </is>
      </c>
      <c r="B96" s="2" t="n">
        <v>45925</v>
      </c>
      <c r="C96" t="n">
        <v>2025</v>
      </c>
      <c r="D96" t="inlineStr">
        <is>
          <t>Sep</t>
        </is>
      </c>
      <c r="E96" t="inlineStr">
        <is>
          <t>Chipo Marufu</t>
        </is>
      </c>
      <c r="F96" t="inlineStr">
        <is>
          <t>Zimbabwe</t>
        </is>
      </c>
      <c r="G96" t="inlineStr">
        <is>
          <t>HP Spectre x360</t>
        </is>
      </c>
      <c r="H96" t="inlineStr">
        <is>
          <t>Laptop</t>
        </is>
      </c>
      <c r="I96" t="n">
        <v>2</v>
      </c>
      <c r="J96" s="3" t="n">
        <v>2400</v>
      </c>
    </row>
    <row r="97">
      <c r="A97" t="inlineStr">
        <is>
          <t>O0096</t>
        </is>
      </c>
      <c r="B97" s="2" t="n">
        <v>46093</v>
      </c>
      <c r="C97" t="n">
        <v>2026</v>
      </c>
      <c r="D97" t="inlineStr">
        <is>
          <t>Mar</t>
        </is>
      </c>
      <c r="E97" t="inlineStr">
        <is>
          <t>Amara Otieno</t>
        </is>
      </c>
      <c r="F97" t="inlineStr">
        <is>
          <t>Kenya</t>
        </is>
      </c>
      <c r="G97" t="inlineStr">
        <is>
          <t>iPhone 16</t>
        </is>
      </c>
      <c r="H97" t="inlineStr">
        <is>
          <t>Smartphone</t>
        </is>
      </c>
      <c r="I97" t="n">
        <v>3</v>
      </c>
      <c r="J97" s="3" t="n">
        <v>3000</v>
      </c>
    </row>
    <row r="98">
      <c r="A98" t="inlineStr">
        <is>
          <t>O0097</t>
        </is>
      </c>
      <c r="B98" s="2" t="n">
        <v>45851</v>
      </c>
      <c r="C98" t="n">
        <v>2025</v>
      </c>
      <c r="D98" t="inlineStr">
        <is>
          <t>Jul</t>
        </is>
      </c>
      <c r="E98" t="inlineStr">
        <is>
          <t>Tendai Moyo</t>
        </is>
      </c>
      <c r="F98" t="inlineStr">
        <is>
          <t>Zimbabwe</t>
        </is>
      </c>
      <c r="G98" t="inlineStr">
        <is>
          <t>MacBook Air M4</t>
        </is>
      </c>
      <c r="H98" t="inlineStr">
        <is>
          <t>Laptop</t>
        </is>
      </c>
      <c r="I98" t="n">
        <v>1</v>
      </c>
      <c r="J98" s="3" t="n">
        <v>1000</v>
      </c>
    </row>
    <row r="99">
      <c r="A99" t="inlineStr">
        <is>
          <t>O0098</t>
        </is>
      </c>
      <c r="B99" s="2" t="n">
        <v>45995</v>
      </c>
      <c r="C99" t="n">
        <v>2025</v>
      </c>
      <c r="D99" t="inlineStr">
        <is>
          <t>Dec</t>
        </is>
      </c>
      <c r="E99" t="inlineStr">
        <is>
          <t>Nyasha Banda</t>
        </is>
      </c>
      <c r="F99" t="inlineStr">
        <is>
          <t>Zimbabwe</t>
        </is>
      </c>
      <c r="G99" t="inlineStr">
        <is>
          <t>Google Nest Hub 3</t>
        </is>
      </c>
      <c r="H99" t="inlineStr">
        <is>
          <t>Smart Home</t>
        </is>
      </c>
      <c r="I99" t="n">
        <v>1</v>
      </c>
      <c r="J99" s="3" t="n">
        <v>150</v>
      </c>
    </row>
    <row r="100">
      <c r="A100" t="inlineStr">
        <is>
          <t>O0099</t>
        </is>
      </c>
      <c r="B100" s="2" t="n">
        <v>45445</v>
      </c>
      <c r="C100" t="n">
        <v>2024</v>
      </c>
      <c r="D100" t="inlineStr">
        <is>
          <t>Jun</t>
        </is>
      </c>
      <c r="E100" t="inlineStr">
        <is>
          <t>Nyasha Banda</t>
        </is>
      </c>
      <c r="F100" t="inlineStr">
        <is>
          <t>Zimbabwe</t>
        </is>
      </c>
      <c r="G100" t="inlineStr">
        <is>
          <t>Bluetooth Headphones</t>
        </is>
      </c>
      <c r="H100" t="inlineStr">
        <is>
          <t>Accessory</t>
        </is>
      </c>
      <c r="I100" t="n">
        <v>2</v>
      </c>
      <c r="J100" s="3" t="n">
        <v>240</v>
      </c>
    </row>
    <row r="101">
      <c r="A101" t="inlineStr">
        <is>
          <t>O0100</t>
        </is>
      </c>
      <c r="B101" s="2" t="n">
        <v>46288</v>
      </c>
      <c r="C101" t="n">
        <v>2026</v>
      </c>
      <c r="D101" t="inlineStr">
        <is>
          <t>Sep</t>
        </is>
      </c>
      <c r="E101" t="inlineStr">
        <is>
          <t>Thabo Nkosi</t>
        </is>
      </c>
      <c r="F101" t="inlineStr">
        <is>
          <t>South Africa</t>
        </is>
      </c>
      <c r="G101" t="inlineStr">
        <is>
          <t>Bluetooth Headphones</t>
        </is>
      </c>
      <c r="H101" t="inlineStr">
        <is>
          <t>Accessory</t>
        </is>
      </c>
      <c r="I101" t="n">
        <v>1</v>
      </c>
      <c r="J101" s="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3.5" customWidth="1" min="5" max="5"/>
  </cols>
  <sheetData>
    <row r="1">
      <c r="A1" s="4" t="inlineStr">
        <is>
          <t>What your PivotTable should show: Total Sales by Category and Year</t>
        </is>
      </c>
    </row>
    <row r="2">
      <c r="A2" s="5" t="inlineStr">
        <is>
          <t>Built here with SUMIFS rather than a real PivotTable, so you can see the logic. A PivotTable does exactly this - it just does it by dragging instead of typing.</t>
        </is>
      </c>
    </row>
    <row r="3"/>
    <row r="4" ht="20" customHeight="1">
      <c r="A4" s="1" t="inlineStr">
        <is>
          <t>Category</t>
        </is>
      </c>
      <c r="B4" s="1" t="n">
        <v>2024</v>
      </c>
      <c r="C4" s="1" t="n">
        <v>2025</v>
      </c>
      <c r="D4" s="1" t="n">
        <v>2026</v>
      </c>
      <c r="E4" s="1" t="inlineStr">
        <is>
          <t>Grand Total</t>
        </is>
      </c>
    </row>
    <row r="5">
      <c r="A5" t="inlineStr">
        <is>
          <t>Laptop</t>
        </is>
      </c>
      <c r="B5" s="3">
        <f>SUMIFS(Orders!$J$2:$J$101,Orders!$H$2:$H$101,$A5,Orders!$C$2:$C$101,2024)</f>
        <v/>
      </c>
      <c r="C5" s="3">
        <f>SUMIFS(Orders!$J$2:$J$101,Orders!$H$2:$H$101,$A5,Orders!$C$2:$C$101,2025)</f>
        <v/>
      </c>
      <c r="D5" s="3">
        <f>SUMIFS(Orders!$J$2:$J$101,Orders!$H$2:$H$101,$A5,Orders!$C$2:$C$101,2026)</f>
        <v/>
      </c>
      <c r="E5" s="6">
        <f>SUM(B5:D5)</f>
        <v/>
      </c>
    </row>
    <row r="6">
      <c r="A6" t="inlineStr">
        <is>
          <t>Smartphone</t>
        </is>
      </c>
      <c r="B6" s="3">
        <f>SUMIFS(Orders!$J$2:$J$101,Orders!$H$2:$H$101,$A6,Orders!$C$2:$C$101,2024)</f>
        <v/>
      </c>
      <c r="C6" s="3">
        <f>SUMIFS(Orders!$J$2:$J$101,Orders!$H$2:$H$101,$A6,Orders!$C$2:$C$101,2025)</f>
        <v/>
      </c>
      <c r="D6" s="3">
        <f>SUMIFS(Orders!$J$2:$J$101,Orders!$H$2:$H$101,$A6,Orders!$C$2:$C$101,2026)</f>
        <v/>
      </c>
      <c r="E6" s="6">
        <f>SUM(B6:D6)</f>
        <v/>
      </c>
    </row>
    <row r="7">
      <c r="A7" t="inlineStr">
        <is>
          <t>Tablet</t>
        </is>
      </c>
      <c r="B7" s="3">
        <f>SUMIFS(Orders!$J$2:$J$101,Orders!$H$2:$H$101,$A7,Orders!$C$2:$C$101,2024)</f>
        <v/>
      </c>
      <c r="C7" s="3">
        <f>SUMIFS(Orders!$J$2:$J$101,Orders!$H$2:$H$101,$A7,Orders!$C$2:$C$101,2025)</f>
        <v/>
      </c>
      <c r="D7" s="3">
        <f>SUMIFS(Orders!$J$2:$J$101,Orders!$H$2:$H$101,$A7,Orders!$C$2:$C$101,2026)</f>
        <v/>
      </c>
      <c r="E7" s="6">
        <f>SUM(B7:D7)</f>
        <v/>
      </c>
    </row>
    <row r="8">
      <c r="A8" t="inlineStr">
        <is>
          <t>Accessory</t>
        </is>
      </c>
      <c r="B8" s="3">
        <f>SUMIFS(Orders!$J$2:$J$101,Orders!$H$2:$H$101,$A8,Orders!$C$2:$C$101,2024)</f>
        <v/>
      </c>
      <c r="C8" s="3">
        <f>SUMIFS(Orders!$J$2:$J$101,Orders!$H$2:$H$101,$A8,Orders!$C$2:$C$101,2025)</f>
        <v/>
      </c>
      <c r="D8" s="3">
        <f>SUMIFS(Orders!$J$2:$J$101,Orders!$H$2:$H$101,$A8,Orders!$C$2:$C$101,2026)</f>
        <v/>
      </c>
      <c r="E8" s="6">
        <f>SUM(B8:D8)</f>
        <v/>
      </c>
    </row>
    <row r="9">
      <c r="A9" t="inlineStr">
        <is>
          <t>Smart Home</t>
        </is>
      </c>
      <c r="B9" s="3">
        <f>SUMIFS(Orders!$J$2:$J$101,Orders!$H$2:$H$101,$A9,Orders!$C$2:$C$101,2024)</f>
        <v/>
      </c>
      <c r="C9" s="3">
        <f>SUMIFS(Orders!$J$2:$J$101,Orders!$H$2:$H$101,$A9,Orders!$C$2:$C$101,2025)</f>
        <v/>
      </c>
      <c r="D9" s="3">
        <f>SUMIFS(Orders!$J$2:$J$101,Orders!$H$2:$H$101,$A9,Orders!$C$2:$C$101,2026)</f>
        <v/>
      </c>
      <c r="E9" s="6">
        <f>SUM(B9:D9)</f>
        <v/>
      </c>
    </row>
    <row r="10">
      <c r="A10" s="7" t="inlineStr">
        <is>
          <t>Grand Total</t>
        </is>
      </c>
      <c r="B10" s="6">
        <f>SUM(B5:B9)</f>
        <v/>
      </c>
      <c r="C10" s="6">
        <f>SUM(C5:C9)</f>
        <v/>
      </c>
      <c r="D10" s="6">
        <f>SUM(D5:D9)</f>
        <v/>
      </c>
      <c r="E10" s="6">
        <f>SUM(E5:E9)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2" customWidth="1" min="1" max="1"/>
    <col width="22.5" customWidth="1" min="2" max="2"/>
    <col width="42" customWidth="1" min="4" max="4"/>
  </cols>
  <sheetData>
    <row r="1">
      <c r="A1" s="4" t="inlineStr">
        <is>
          <t>NovaTech Retail - Next Year Projection</t>
        </is>
      </c>
    </row>
    <row r="2"/>
    <row r="3">
      <c r="A3" s="7" t="inlineStr">
        <is>
          <t>INPUTS (change the yellow cells)</t>
        </is>
      </c>
    </row>
    <row r="4">
      <c r="A4" s="8" t="inlineStr">
        <is>
          <t>Current Annual Revenue</t>
        </is>
      </c>
      <c r="B4" s="9">
        <f>SUM(Orders!J2:J101)</f>
        <v/>
      </c>
      <c r="D4" s="5" t="inlineStr">
        <is>
          <t>Goal Seek target for Step 12: set B13 to 16000 by changing B5 (answer is about 10%).</t>
        </is>
      </c>
    </row>
    <row r="5">
      <c r="A5" s="8" t="inlineStr">
        <is>
          <t>Price Increase</t>
        </is>
      </c>
      <c r="B5" s="10" t="n">
        <v>0</v>
      </c>
      <c r="D5" s="5" t="inlineStr">
        <is>
          <t>Note the results depend on each other: Revenue feeds Costs, both feed Profit.</t>
        </is>
      </c>
    </row>
    <row r="6">
      <c r="A6" s="8" t="inlineStr">
        <is>
          <t>Expected Volume Change</t>
        </is>
      </c>
      <c r="B6" s="10" t="n">
        <v>-0.02</v>
      </c>
    </row>
    <row r="7">
      <c r="A7" s="8" t="inlineStr">
        <is>
          <t>Cost as % of Revenue</t>
        </is>
      </c>
      <c r="B7" s="10" t="n">
        <v>0.62</v>
      </c>
    </row>
    <row r="8">
      <c r="A8" s="8" t="inlineStr">
        <is>
          <t>Fixed Costs</t>
        </is>
      </c>
      <c r="B8" s="11" t="n">
        <v>25000</v>
      </c>
    </row>
    <row r="9"/>
    <row r="10">
      <c r="A10" s="7" t="inlineStr">
        <is>
          <t>RESULTS (calculated - do not type over these)</t>
        </is>
      </c>
    </row>
    <row r="11">
      <c r="A11" s="8" t="inlineStr">
        <is>
          <t>Projected Revenue</t>
        </is>
      </c>
      <c r="B11" s="12">
        <f>B4*(1+B5)*(1+B6)</f>
        <v/>
      </c>
    </row>
    <row r="12">
      <c r="A12" s="8" t="inlineStr">
        <is>
          <t>Projected Costs</t>
        </is>
      </c>
      <c r="B12" s="12">
        <f>B11*B7+B8</f>
        <v/>
      </c>
    </row>
    <row r="13">
      <c r="A13" s="8" t="inlineStr">
        <is>
          <t>Projected Profit</t>
        </is>
      </c>
      <c r="B13" s="12">
        <f>B11-B12</f>
        <v/>
      </c>
    </row>
    <row r="14">
      <c r="A14" s="8" t="inlineStr">
        <is>
          <t>Profit Margin</t>
        </is>
      </c>
      <c r="B14" s="13">
        <f>IFERROR(B13/B11,0)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2026-07-21T04:07:13Z</dcterms:created>
  <dcterms:modified xsi:type="dcterms:W3CDTF">2026-07-21T04:07:13Z</dcterms:modified>
</cp:coreProperties>
</file>