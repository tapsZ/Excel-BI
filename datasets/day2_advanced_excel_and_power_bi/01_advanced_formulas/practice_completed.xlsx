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iers" sheetId="4" state="visible" r:id="rId4"/>
    <sheet name="Dynamic Arrays" sheetId="5" state="visible" r:id="rId5"/>
  </sheets>
  <definedNames>
    <definedName name="TierName">Tiers!$A$4:$A$7</definedName>
    <definedName name="TierDiscount">Tiers!$C$4:$C$7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8" fontId="0" fillId="0" borderId="0" pivotButton="0" quotePrefix="0" xfId="0"/>
    <xf numFmtId="167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Products" displayName="Products" ref="A1:D19" headerRowCount="1">
  <autoFilter ref="A1:D19"/>
  <tableColumns count="4">
    <tableColumn id="1" name="SKU"/>
    <tableColumn id="2" name="Product"/>
    <tableColumn id="3" name="Category"/>
    <tableColumn id="4" name="List Price"/>
  </tableColumns>
  <tableStyleInfo name="TableStyleMedium4" showRowStripes="1"/>
</table>
</file>

<file path=xl/tables/table2.xml><?xml version="1.0" encoding="utf-8"?>
<table xmlns="http://schemas.openxmlformats.org/spreadsheetml/2006/main" id="2" name="Customers" displayName="Customers" ref="A1:E13" headerRowCount="1">
  <autoFilter ref="A1:E13"/>
  <tableColumns count="5">
    <tableColumn id="1" name="Customer ID"/>
    <tableColumn id="2" name="Customer Name"/>
    <tableColumn id="3" name="Country"/>
    <tableColumn id="4" name="City"/>
    <tableColumn id="5" name="Score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5" customWidth="1" min="1" max="1"/>
    <col width="13.5" customWidth="1" min="2" max="2"/>
    <col width="13.5" customWidth="1" min="3" max="3"/>
    <col width="22.5" customWidth="1" min="4" max="4"/>
    <col width="10.5" customWidth="1" min="5" max="5"/>
    <col width="42" customWidth="1" min="6" max="6"/>
    <col width="42" customWidth="1" min="7" max="7"/>
    <col width="42" customWidth="1" min="8" max="8"/>
    <col width="42" customWidth="1" min="9" max="9"/>
    <col width="10.5" customWidth="1" min="10" max="10"/>
    <col width="42" customWidth="1" min="11" max="11"/>
    <col width="42" customWidth="1" min="12" max="12"/>
    <col width="14.5" customWidth="1" min="13" max="13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Customer Name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List Price</t>
        </is>
      </c>
      <c r="J1" s="1" t="inlineStr">
        <is>
          <t>Revenue</t>
        </is>
      </c>
      <c r="K1" s="1" t="inlineStr">
        <is>
          <t>Tier</t>
        </is>
      </c>
      <c r="L1" s="1" t="inlineStr">
        <is>
          <t>Discount %</t>
        </is>
      </c>
      <c r="M1" s="1" t="inlineStr">
        <is>
          <t>Net Revenue</t>
        </is>
      </c>
    </row>
    <row r="2">
      <c r="A2" t="inlineStr">
        <is>
          <t>O0001</t>
        </is>
      </c>
      <c r="B2" s="2" t="n">
        <v>46039</v>
      </c>
      <c r="C2" t="inlineStr">
        <is>
          <t>C012</t>
        </is>
      </c>
      <c r="D2" t="inlineStr">
        <is>
          <t>iPhone 16</t>
        </is>
      </c>
      <c r="E2" s="3" t="n">
        <v>1</v>
      </c>
      <c r="F2">
        <f>_xlfn.XLOOKUP(C2,Customers!$A$2:$A$13,Customers!$B$2:$B$13,"Not found")</f>
        <v/>
      </c>
      <c r="G2">
        <f>_xlfn.XLOOKUP(C2,Customers!$A$2:$A$13,Customers!$C$2:$C$13,"Not found")</f>
        <v/>
      </c>
      <c r="H2">
        <f>INDEX(Products!$C$2:$C$19,MATCH(D2,Products!$B$2:$B$19,0))</f>
        <v/>
      </c>
      <c r="I2" s="4">
        <f>_xlfn.XLOOKUP(D2,Products!$B$2:$B$19,Products!$D$2:$D$19,0)</f>
        <v/>
      </c>
      <c r="J2" s="4">
        <f>I2*E2</f>
        <v/>
      </c>
      <c r="K2">
        <f>_xlfn.IFS(J2&gt;=2000,"Platinum",J2&gt;=1000,"Gold",J2&gt;=300,"Silver",TRUE,"Bronze")</f>
        <v/>
      </c>
      <c r="L2" s="5">
        <f>_xlfn.XLOOKUP(K2,TierName,TierDiscount,0)</f>
        <v/>
      </c>
      <c r="M2" s="4">
        <f>J2*(1-L2)</f>
        <v/>
      </c>
    </row>
    <row r="3">
      <c r="A3" t="inlineStr">
        <is>
          <t>O0002</t>
        </is>
      </c>
      <c r="B3" s="2" t="n">
        <v>45991</v>
      </c>
      <c r="C3" t="inlineStr">
        <is>
          <t>C005</t>
        </is>
      </c>
      <c r="D3" t="inlineStr">
        <is>
          <t>Bluetooth Headphones</t>
        </is>
      </c>
      <c r="E3" s="3" t="n">
        <v>1</v>
      </c>
      <c r="F3">
        <f>_xlfn.XLOOKUP(C3,Customers!$A$2:$A$13,Customers!$B$2:$B$13,"Not found")</f>
        <v/>
      </c>
      <c r="G3">
        <f>_xlfn.XLOOKUP(C3,Customers!$A$2:$A$13,Customers!$C$2:$C$13,"Not found")</f>
        <v/>
      </c>
      <c r="H3">
        <f>INDEX(Products!$C$2:$C$19,MATCH(D3,Products!$B$2:$B$19,0))</f>
        <v/>
      </c>
      <c r="I3" s="4">
        <f>_xlfn.XLOOKUP(D3,Products!$B$2:$B$19,Products!$D$2:$D$19,0)</f>
        <v/>
      </c>
      <c r="J3" s="4">
        <f>I3*E3</f>
        <v/>
      </c>
      <c r="K3">
        <f>_xlfn.IFS(J3&gt;=2000,"Platinum",J3&gt;=1000,"Gold",J3&gt;=300,"Silver",TRUE,"Bronze")</f>
        <v/>
      </c>
      <c r="L3" s="5">
        <f>_xlfn.XLOOKUP(K3,TierName,TierDiscount,0)</f>
        <v/>
      </c>
      <c r="M3" s="4">
        <f>J3*(1-L3)</f>
        <v/>
      </c>
    </row>
    <row r="4">
      <c r="A4" t="inlineStr">
        <is>
          <t>O0003</t>
        </is>
      </c>
      <c r="B4" s="2" t="n">
        <v>45481</v>
      </c>
      <c r="C4" t="inlineStr">
        <is>
          <t>C001</t>
        </is>
      </c>
      <c r="D4" t="inlineStr">
        <is>
          <t>Dell XPS 15</t>
        </is>
      </c>
      <c r="E4" s="3" t="n">
        <v>2</v>
      </c>
      <c r="F4">
        <f>_xlfn.XLOOKUP(C4,Customers!$A$2:$A$13,Customers!$B$2:$B$13,"Not found")</f>
        <v/>
      </c>
      <c r="G4">
        <f>_xlfn.XLOOKUP(C4,Customers!$A$2:$A$13,Customers!$C$2:$C$13,"Not found")</f>
        <v/>
      </c>
      <c r="H4">
        <f>INDEX(Products!$C$2:$C$19,MATCH(D4,Products!$B$2:$B$19,0))</f>
        <v/>
      </c>
      <c r="I4" s="4">
        <f>_xlfn.XLOOKUP(D4,Products!$B$2:$B$19,Products!$D$2:$D$19,0)</f>
        <v/>
      </c>
      <c r="J4" s="4">
        <f>I4*E4</f>
        <v/>
      </c>
      <c r="K4">
        <f>_xlfn.IFS(J4&gt;=2000,"Platinum",J4&gt;=1000,"Gold",J4&gt;=300,"Silver",TRUE,"Bronze")</f>
        <v/>
      </c>
      <c r="L4" s="5">
        <f>_xlfn.XLOOKUP(K4,TierName,TierDiscount,0)</f>
        <v/>
      </c>
      <c r="M4" s="4">
        <f>J4*(1-L4)</f>
        <v/>
      </c>
    </row>
    <row r="5">
      <c r="A5" t="inlineStr">
        <is>
          <t>O0004</t>
        </is>
      </c>
      <c r="B5" s="2" t="n">
        <v>46249</v>
      </c>
      <c r="C5" t="inlineStr">
        <is>
          <t>C004</t>
        </is>
      </c>
      <c r="D5" t="inlineStr">
        <is>
          <t>ThinkPad X1</t>
        </is>
      </c>
      <c r="E5" s="3" t="n">
        <v>1</v>
      </c>
      <c r="F5">
        <f>_xlfn.XLOOKUP(C5,Customers!$A$2:$A$13,Customers!$B$2:$B$13,"Not found")</f>
        <v/>
      </c>
      <c r="G5">
        <f>_xlfn.XLOOKUP(C5,Customers!$A$2:$A$13,Customers!$C$2:$C$13,"Not found")</f>
        <v/>
      </c>
      <c r="H5">
        <f>INDEX(Products!$C$2:$C$19,MATCH(D5,Products!$B$2:$B$19,0))</f>
        <v/>
      </c>
      <c r="I5" s="4">
        <f>_xlfn.XLOOKUP(D5,Products!$B$2:$B$19,Products!$D$2:$D$19,0)</f>
        <v/>
      </c>
      <c r="J5" s="4">
        <f>I5*E5</f>
        <v/>
      </c>
      <c r="K5">
        <f>_xlfn.IFS(J5&gt;=2000,"Platinum",J5&gt;=1000,"Gold",J5&gt;=300,"Silver",TRUE,"Bronze")</f>
        <v/>
      </c>
      <c r="L5" s="5">
        <f>_xlfn.XLOOKUP(K5,TierName,TierDiscount,0)</f>
        <v/>
      </c>
      <c r="M5" s="4">
        <f>J5*(1-L5)</f>
        <v/>
      </c>
    </row>
    <row r="6">
      <c r="A6" t="inlineStr">
        <is>
          <t>O0005</t>
        </is>
      </c>
      <c r="B6" s="2" t="n">
        <v>46123</v>
      </c>
      <c r="C6" t="inlineStr">
        <is>
          <t>C005</t>
        </is>
      </c>
      <c r="D6" t="inlineStr">
        <is>
          <t>OnePlus 13</t>
        </is>
      </c>
      <c r="E6" s="3" t="n">
        <v>1</v>
      </c>
      <c r="F6">
        <f>_xlfn.XLOOKUP(C6,Customers!$A$2:$A$13,Customers!$B$2:$B$13,"Not found")</f>
        <v/>
      </c>
      <c r="G6">
        <f>_xlfn.XLOOKUP(C6,Customers!$A$2:$A$13,Customers!$C$2:$C$13,"Not found")</f>
        <v/>
      </c>
      <c r="H6">
        <f>INDEX(Products!$C$2:$C$19,MATCH(D6,Products!$B$2:$B$19,0))</f>
        <v/>
      </c>
      <c r="I6" s="4">
        <f>_xlfn.XLOOKUP(D6,Products!$B$2:$B$19,Products!$D$2:$D$19,0)</f>
        <v/>
      </c>
      <c r="J6" s="4">
        <f>I6*E6</f>
        <v/>
      </c>
      <c r="K6">
        <f>_xlfn.IFS(J6&gt;=2000,"Platinum",J6&gt;=1000,"Gold",J6&gt;=300,"Silver",TRUE,"Bronze")</f>
        <v/>
      </c>
      <c r="L6" s="5">
        <f>_xlfn.XLOOKUP(K6,TierName,TierDiscount,0)</f>
        <v/>
      </c>
      <c r="M6" s="4">
        <f>J6*(1-L6)</f>
        <v/>
      </c>
    </row>
    <row r="7">
      <c r="A7" t="inlineStr">
        <is>
          <t>O0006</t>
        </is>
      </c>
      <c r="B7" s="2" t="n">
        <v>45938</v>
      </c>
      <c r="C7" t="inlineStr">
        <is>
          <t>C012</t>
        </is>
      </c>
      <c r="D7" t="inlineStr">
        <is>
          <t>Galaxy S24</t>
        </is>
      </c>
      <c r="E7" s="3" t="n">
        <v>2</v>
      </c>
      <c r="F7">
        <f>_xlfn.XLOOKUP(C7,Customers!$A$2:$A$13,Customers!$B$2:$B$13,"Not found")</f>
        <v/>
      </c>
      <c r="G7">
        <f>_xlfn.XLOOKUP(C7,Customers!$A$2:$A$13,Customers!$C$2:$C$13,"Not found")</f>
        <v/>
      </c>
      <c r="H7">
        <f>INDEX(Products!$C$2:$C$19,MATCH(D7,Products!$B$2:$B$19,0))</f>
        <v/>
      </c>
      <c r="I7" s="4">
        <f>_xlfn.XLOOKUP(D7,Products!$B$2:$B$19,Products!$D$2:$D$19,0)</f>
        <v/>
      </c>
      <c r="J7" s="4">
        <f>I7*E7</f>
        <v/>
      </c>
      <c r="K7">
        <f>_xlfn.IFS(J7&gt;=2000,"Platinum",J7&gt;=1000,"Gold",J7&gt;=300,"Silver",TRUE,"Bronze")</f>
        <v/>
      </c>
      <c r="L7" s="5">
        <f>_xlfn.XLOOKUP(K7,TierName,TierDiscount,0)</f>
        <v/>
      </c>
      <c r="M7" s="4">
        <f>J7*(1-L7)</f>
        <v/>
      </c>
    </row>
    <row r="8">
      <c r="A8" t="inlineStr">
        <is>
          <t>O0007</t>
        </is>
      </c>
      <c r="B8" s="2" t="n">
        <v>45458</v>
      </c>
      <c r="C8" t="inlineStr">
        <is>
          <t>C010</t>
        </is>
      </c>
      <c r="D8" t="inlineStr">
        <is>
          <t>Echo Dot 6</t>
        </is>
      </c>
      <c r="E8" s="3" t="n">
        <v>3</v>
      </c>
      <c r="F8">
        <f>_xlfn.XLOOKUP(C8,Customers!$A$2:$A$13,Customers!$B$2:$B$13,"Not found")</f>
        <v/>
      </c>
      <c r="G8">
        <f>_xlfn.XLOOKUP(C8,Customers!$A$2:$A$13,Customers!$C$2:$C$13,"Not found")</f>
        <v/>
      </c>
      <c r="H8">
        <f>INDEX(Products!$C$2:$C$19,MATCH(D8,Products!$B$2:$B$19,0))</f>
        <v/>
      </c>
      <c r="I8" s="4">
        <f>_xlfn.XLOOKUP(D8,Products!$B$2:$B$19,Products!$D$2:$D$19,0)</f>
        <v/>
      </c>
      <c r="J8" s="4">
        <f>I8*E8</f>
        <v/>
      </c>
      <c r="K8">
        <f>_xlfn.IFS(J8&gt;=2000,"Platinum",J8&gt;=1000,"Gold",J8&gt;=300,"Silver",TRUE,"Bronze")</f>
        <v/>
      </c>
      <c r="L8" s="5">
        <f>_xlfn.XLOOKUP(K8,TierName,TierDiscount,0)</f>
        <v/>
      </c>
      <c r="M8" s="4">
        <f>J8*(1-L8)</f>
        <v/>
      </c>
    </row>
    <row r="9">
      <c r="A9" t="inlineStr">
        <is>
          <t>O0008</t>
        </is>
      </c>
      <c r="B9" s="2" t="n">
        <v>45533</v>
      </c>
      <c r="C9" t="inlineStr">
        <is>
          <t>C010</t>
        </is>
      </c>
      <c r="D9" t="inlineStr">
        <is>
          <t>MacBook Air M4</t>
        </is>
      </c>
      <c r="E9" s="3" t="n">
        <v>1</v>
      </c>
      <c r="F9">
        <f>_xlfn.XLOOKUP(C9,Customers!$A$2:$A$13,Customers!$B$2:$B$13,"Not found")</f>
        <v/>
      </c>
      <c r="G9">
        <f>_xlfn.XLOOKUP(C9,Customers!$A$2:$A$13,Customers!$C$2:$C$13,"Not found")</f>
        <v/>
      </c>
      <c r="H9">
        <f>INDEX(Products!$C$2:$C$19,MATCH(D9,Products!$B$2:$B$19,0))</f>
        <v/>
      </c>
      <c r="I9" s="4">
        <f>_xlfn.XLOOKUP(D9,Products!$B$2:$B$19,Products!$D$2:$D$19,0)</f>
        <v/>
      </c>
      <c r="J9" s="4">
        <f>I9*E9</f>
        <v/>
      </c>
      <c r="K9">
        <f>_xlfn.IFS(J9&gt;=2000,"Platinum",J9&gt;=1000,"Gold",J9&gt;=300,"Silver",TRUE,"Bronze")</f>
        <v/>
      </c>
      <c r="L9" s="5">
        <f>_xlfn.XLOOKUP(K9,TierName,TierDiscount,0)</f>
        <v/>
      </c>
      <c r="M9" s="4">
        <f>J9*(1-L9)</f>
        <v/>
      </c>
    </row>
    <row r="10">
      <c r="A10" t="inlineStr">
        <is>
          <t>O0009</t>
        </is>
      </c>
      <c r="B10" s="2" t="n">
        <v>45856</v>
      </c>
      <c r="C10" t="inlineStr">
        <is>
          <t>C005</t>
        </is>
      </c>
      <c r="D10" t="inlineStr">
        <is>
          <t>Surface Go 4</t>
        </is>
      </c>
      <c r="E10" s="3" t="n">
        <v>1</v>
      </c>
      <c r="F10">
        <f>_xlfn.XLOOKUP(C10,Customers!$A$2:$A$13,Customers!$B$2:$B$13,"Not found")</f>
        <v/>
      </c>
      <c r="G10">
        <f>_xlfn.XLOOKUP(C10,Customers!$A$2:$A$13,Customers!$C$2:$C$13,"Not found")</f>
        <v/>
      </c>
      <c r="H10">
        <f>INDEX(Products!$C$2:$C$19,MATCH(D10,Products!$B$2:$B$19,0))</f>
        <v/>
      </c>
      <c r="I10" s="4">
        <f>_xlfn.XLOOKUP(D10,Products!$B$2:$B$19,Products!$D$2:$D$19,0)</f>
        <v/>
      </c>
      <c r="J10" s="4">
        <f>I10*E10</f>
        <v/>
      </c>
      <c r="K10">
        <f>_xlfn.IFS(J10&gt;=2000,"Platinum",J10&gt;=1000,"Gold",J10&gt;=300,"Silver",TRUE,"Bronze")</f>
        <v/>
      </c>
      <c r="L10" s="5">
        <f>_xlfn.XLOOKUP(K10,TierName,TierDiscount,0)</f>
        <v/>
      </c>
      <c r="M10" s="4">
        <f>J10*(1-L10)</f>
        <v/>
      </c>
    </row>
    <row r="11">
      <c r="A11" t="inlineStr">
        <is>
          <t>O0010</t>
        </is>
      </c>
      <c r="B11" s="2" t="n">
        <v>45383</v>
      </c>
      <c r="C11" t="inlineStr">
        <is>
          <t>C007</t>
        </is>
      </c>
      <c r="D11" t="inlineStr">
        <is>
          <t>HP Spectre x360</t>
        </is>
      </c>
      <c r="E11" s="3" t="n">
        <v>1</v>
      </c>
      <c r="F11">
        <f>_xlfn.XLOOKUP(C11,Customers!$A$2:$A$13,Customers!$B$2:$B$13,"Not found")</f>
        <v/>
      </c>
      <c r="G11">
        <f>_xlfn.XLOOKUP(C11,Customers!$A$2:$A$13,Customers!$C$2:$C$13,"Not found")</f>
        <v/>
      </c>
      <c r="H11">
        <f>INDEX(Products!$C$2:$C$19,MATCH(D11,Products!$B$2:$B$19,0))</f>
        <v/>
      </c>
      <c r="I11" s="4">
        <f>_xlfn.XLOOKUP(D11,Products!$B$2:$B$19,Products!$D$2:$D$19,0)</f>
        <v/>
      </c>
      <c r="J11" s="4">
        <f>I11*E11</f>
        <v/>
      </c>
      <c r="K11">
        <f>_xlfn.IFS(J11&gt;=2000,"Platinum",J11&gt;=1000,"Gold",J11&gt;=300,"Silver",TRUE,"Bronze")</f>
        <v/>
      </c>
      <c r="L11" s="5">
        <f>_xlfn.XLOOKUP(K11,TierName,TierDiscount,0)</f>
        <v/>
      </c>
      <c r="M11" s="4">
        <f>J11*(1-L11)</f>
        <v/>
      </c>
    </row>
    <row r="12">
      <c r="A12" t="inlineStr">
        <is>
          <t>O0011</t>
        </is>
      </c>
      <c r="B12" s="2" t="n">
        <v>46317</v>
      </c>
      <c r="C12" t="inlineStr">
        <is>
          <t>C004</t>
        </is>
      </c>
      <c r="D12" t="inlineStr">
        <is>
          <t>ThinkPad X1</t>
        </is>
      </c>
      <c r="E12" s="3" t="n">
        <v>1</v>
      </c>
      <c r="F12">
        <f>_xlfn.XLOOKUP(C12,Customers!$A$2:$A$13,Customers!$B$2:$B$13,"Not found")</f>
        <v/>
      </c>
      <c r="G12">
        <f>_xlfn.XLOOKUP(C12,Customers!$A$2:$A$13,Customers!$C$2:$C$13,"Not found")</f>
        <v/>
      </c>
      <c r="H12">
        <f>INDEX(Products!$C$2:$C$19,MATCH(D12,Products!$B$2:$B$19,0))</f>
        <v/>
      </c>
      <c r="I12" s="4">
        <f>_xlfn.XLOOKUP(D12,Products!$B$2:$B$19,Products!$D$2:$D$19,0)</f>
        <v/>
      </c>
      <c r="J12" s="4">
        <f>I12*E12</f>
        <v/>
      </c>
      <c r="K12">
        <f>_xlfn.IFS(J12&gt;=2000,"Platinum",J12&gt;=1000,"Gold",J12&gt;=300,"Silver",TRUE,"Bronze")</f>
        <v/>
      </c>
      <c r="L12" s="5">
        <f>_xlfn.XLOOKUP(K12,TierName,TierDiscount,0)</f>
        <v/>
      </c>
      <c r="M12" s="4">
        <f>J12*(1-L12)</f>
        <v/>
      </c>
    </row>
    <row r="13">
      <c r="A13" t="inlineStr">
        <is>
          <t>O0012</t>
        </is>
      </c>
      <c r="B13" s="2" t="n">
        <v>45857</v>
      </c>
      <c r="C13" t="inlineStr">
        <is>
          <t>C001</t>
        </is>
      </c>
      <c r="D13" t="inlineStr">
        <is>
          <t>Surface Go 4</t>
        </is>
      </c>
      <c r="E13" s="3" t="n">
        <v>1</v>
      </c>
      <c r="F13">
        <f>_xlfn.XLOOKUP(C13,Customers!$A$2:$A$13,Customers!$B$2:$B$13,"Not found")</f>
        <v/>
      </c>
      <c r="G13">
        <f>_xlfn.XLOOKUP(C13,Customers!$A$2:$A$13,Customers!$C$2:$C$13,"Not found")</f>
        <v/>
      </c>
      <c r="H13">
        <f>INDEX(Products!$C$2:$C$19,MATCH(D13,Products!$B$2:$B$19,0))</f>
        <v/>
      </c>
      <c r="I13" s="4">
        <f>_xlfn.XLOOKUP(D13,Products!$B$2:$B$19,Products!$D$2:$D$19,0)</f>
        <v/>
      </c>
      <c r="J13" s="4">
        <f>I13*E13</f>
        <v/>
      </c>
      <c r="K13">
        <f>_xlfn.IFS(J13&gt;=2000,"Platinum",J13&gt;=1000,"Gold",J13&gt;=300,"Silver",TRUE,"Bronze")</f>
        <v/>
      </c>
      <c r="L13" s="5">
        <f>_xlfn.XLOOKUP(K13,TierName,TierDiscount,0)</f>
        <v/>
      </c>
      <c r="M13" s="4">
        <f>J13*(1-L13)</f>
        <v/>
      </c>
    </row>
    <row r="14">
      <c r="A14" t="inlineStr">
        <is>
          <t>O0013</t>
        </is>
      </c>
      <c r="B14" s="2" t="n">
        <v>45994</v>
      </c>
      <c r="C14" t="inlineStr">
        <is>
          <t>C005</t>
        </is>
      </c>
      <c r="D14" t="inlineStr">
        <is>
          <t>Galaxy S24</t>
        </is>
      </c>
      <c r="E14" s="3" t="n">
        <v>1</v>
      </c>
      <c r="F14">
        <f>_xlfn.XLOOKUP(C14,Customers!$A$2:$A$13,Customers!$B$2:$B$13,"Not found")</f>
        <v/>
      </c>
      <c r="G14">
        <f>_xlfn.XLOOKUP(C14,Customers!$A$2:$A$13,Customers!$C$2:$C$13,"Not found")</f>
        <v/>
      </c>
      <c r="H14">
        <f>INDEX(Products!$C$2:$C$19,MATCH(D14,Products!$B$2:$B$19,0))</f>
        <v/>
      </c>
      <c r="I14" s="4">
        <f>_xlfn.XLOOKUP(D14,Products!$B$2:$B$19,Products!$D$2:$D$19,0)</f>
        <v/>
      </c>
      <c r="J14" s="4">
        <f>I14*E14</f>
        <v/>
      </c>
      <c r="K14">
        <f>_xlfn.IFS(J14&gt;=2000,"Platinum",J14&gt;=1000,"Gold",J14&gt;=300,"Silver",TRUE,"Bronze")</f>
        <v/>
      </c>
      <c r="L14" s="5">
        <f>_xlfn.XLOOKUP(K14,TierName,TierDiscount,0)</f>
        <v/>
      </c>
      <c r="M14" s="4">
        <f>J14*(1-L14)</f>
        <v/>
      </c>
    </row>
    <row r="15">
      <c r="A15" t="inlineStr">
        <is>
          <t>O0014</t>
        </is>
      </c>
      <c r="B15" s="2" t="n">
        <v>45453</v>
      </c>
      <c r="C15" t="inlineStr">
        <is>
          <t>C007</t>
        </is>
      </c>
      <c r="D15" t="inlineStr">
        <is>
          <t>Echo Dot 6</t>
        </is>
      </c>
      <c r="E15" s="3" t="n">
        <v>1</v>
      </c>
      <c r="F15">
        <f>_xlfn.XLOOKUP(C15,Customers!$A$2:$A$13,Customers!$B$2:$B$13,"Not found")</f>
        <v/>
      </c>
      <c r="G15">
        <f>_xlfn.XLOOKUP(C15,Customers!$A$2:$A$13,Customers!$C$2:$C$13,"Not found")</f>
        <v/>
      </c>
      <c r="H15">
        <f>INDEX(Products!$C$2:$C$19,MATCH(D15,Products!$B$2:$B$19,0))</f>
        <v/>
      </c>
      <c r="I15" s="4">
        <f>_xlfn.XLOOKUP(D15,Products!$B$2:$B$19,Products!$D$2:$D$19,0)</f>
        <v/>
      </c>
      <c r="J15" s="4">
        <f>I15*E15</f>
        <v/>
      </c>
      <c r="K15">
        <f>_xlfn.IFS(J15&gt;=2000,"Platinum",J15&gt;=1000,"Gold",J15&gt;=300,"Silver",TRUE,"Bronze")</f>
        <v/>
      </c>
      <c r="L15" s="5">
        <f>_xlfn.XLOOKUP(K15,TierName,TierDiscount,0)</f>
        <v/>
      </c>
      <c r="M15" s="4">
        <f>J15*(1-L15)</f>
        <v/>
      </c>
    </row>
    <row r="16">
      <c r="A16" t="inlineStr">
        <is>
          <t>O0015</t>
        </is>
      </c>
      <c r="B16" s="2" t="n">
        <v>46287</v>
      </c>
      <c r="C16" t="inlineStr">
        <is>
          <t>C010</t>
        </is>
      </c>
      <c r="D16" t="inlineStr">
        <is>
          <t>Galaxy S24</t>
        </is>
      </c>
      <c r="E16" s="3" t="n">
        <v>1</v>
      </c>
      <c r="F16">
        <f>_xlfn.XLOOKUP(C16,Customers!$A$2:$A$13,Customers!$B$2:$B$13,"Not found")</f>
        <v/>
      </c>
      <c r="G16">
        <f>_xlfn.XLOOKUP(C16,Customers!$A$2:$A$13,Customers!$C$2:$C$13,"Not found")</f>
        <v/>
      </c>
      <c r="H16">
        <f>INDEX(Products!$C$2:$C$19,MATCH(D16,Products!$B$2:$B$19,0))</f>
        <v/>
      </c>
      <c r="I16" s="4">
        <f>_xlfn.XLOOKUP(D16,Products!$B$2:$B$19,Products!$D$2:$D$19,0)</f>
        <v/>
      </c>
      <c r="J16" s="4">
        <f>I16*E16</f>
        <v/>
      </c>
      <c r="K16">
        <f>_xlfn.IFS(J16&gt;=2000,"Platinum",J16&gt;=1000,"Gold",J16&gt;=300,"Silver",TRUE,"Bronze")</f>
        <v/>
      </c>
      <c r="L16" s="5">
        <f>_xlfn.XLOOKUP(K16,TierName,TierDiscount,0)</f>
        <v/>
      </c>
      <c r="M16" s="4">
        <f>J16*(1-L16)</f>
        <v/>
      </c>
    </row>
    <row r="17">
      <c r="A17" t="inlineStr">
        <is>
          <t>O0016</t>
        </is>
      </c>
      <c r="B17" s="2" t="n">
        <v>46107</v>
      </c>
      <c r="C17" t="inlineStr">
        <is>
          <t>C010</t>
        </is>
      </c>
      <c r="D17" t="inlineStr">
        <is>
          <t>ThinkPad X1</t>
        </is>
      </c>
      <c r="E17" s="3" t="n">
        <v>1</v>
      </c>
      <c r="F17">
        <f>_xlfn.XLOOKUP(C17,Customers!$A$2:$A$13,Customers!$B$2:$B$13,"Not found")</f>
        <v/>
      </c>
      <c r="G17">
        <f>_xlfn.XLOOKUP(C17,Customers!$A$2:$A$13,Customers!$C$2:$C$13,"Not found")</f>
        <v/>
      </c>
      <c r="H17">
        <f>INDEX(Products!$C$2:$C$19,MATCH(D17,Products!$B$2:$B$19,0))</f>
        <v/>
      </c>
      <c r="I17" s="4">
        <f>_xlfn.XLOOKUP(D17,Products!$B$2:$B$19,Products!$D$2:$D$19,0)</f>
        <v/>
      </c>
      <c r="J17" s="4">
        <f>I17*E17</f>
        <v/>
      </c>
      <c r="K17">
        <f>_xlfn.IFS(J17&gt;=2000,"Platinum",J17&gt;=1000,"Gold",J17&gt;=300,"Silver",TRUE,"Bronze")</f>
        <v/>
      </c>
      <c r="L17" s="5">
        <f>_xlfn.XLOOKUP(K17,TierName,TierDiscount,0)</f>
        <v/>
      </c>
      <c r="M17" s="4">
        <f>J17*(1-L17)</f>
        <v/>
      </c>
    </row>
    <row r="18">
      <c r="A18" t="inlineStr">
        <is>
          <t>O0017</t>
        </is>
      </c>
      <c r="B18" s="2" t="n">
        <v>46011</v>
      </c>
      <c r="C18" t="inlineStr">
        <is>
          <t>C006</t>
        </is>
      </c>
      <c r="D18" t="inlineStr">
        <is>
          <t>Bluetooth Headphones</t>
        </is>
      </c>
      <c r="E18" s="3" t="n">
        <v>1</v>
      </c>
      <c r="F18">
        <f>_xlfn.XLOOKUP(C18,Customers!$A$2:$A$13,Customers!$B$2:$B$13,"Not found")</f>
        <v/>
      </c>
      <c r="G18">
        <f>_xlfn.XLOOKUP(C18,Customers!$A$2:$A$13,Customers!$C$2:$C$13,"Not found")</f>
        <v/>
      </c>
      <c r="H18">
        <f>INDEX(Products!$C$2:$C$19,MATCH(D18,Products!$B$2:$B$19,0))</f>
        <v/>
      </c>
      <c r="I18" s="4">
        <f>_xlfn.XLOOKUP(D18,Products!$B$2:$B$19,Products!$D$2:$D$19,0)</f>
        <v/>
      </c>
      <c r="J18" s="4">
        <f>I18*E18</f>
        <v/>
      </c>
      <c r="K18">
        <f>_xlfn.IFS(J18&gt;=2000,"Platinum",J18&gt;=1000,"Gold",J18&gt;=300,"Silver",TRUE,"Bronze")</f>
        <v/>
      </c>
      <c r="L18" s="5">
        <f>_xlfn.XLOOKUP(K18,TierName,TierDiscount,0)</f>
        <v/>
      </c>
      <c r="M18" s="4">
        <f>J18*(1-L18)</f>
        <v/>
      </c>
    </row>
    <row r="19">
      <c r="A19" t="inlineStr">
        <is>
          <t>O0018</t>
        </is>
      </c>
      <c r="B19" s="2" t="n">
        <v>45508</v>
      </c>
      <c r="C19" t="inlineStr">
        <is>
          <t>C005</t>
        </is>
      </c>
      <c r="D19" t="inlineStr">
        <is>
          <t>ThinkPad X1</t>
        </is>
      </c>
      <c r="E19" s="3" t="n">
        <v>1</v>
      </c>
      <c r="F19">
        <f>_xlfn.XLOOKUP(C19,Customers!$A$2:$A$13,Customers!$B$2:$B$13,"Not found")</f>
        <v/>
      </c>
      <c r="G19">
        <f>_xlfn.XLOOKUP(C19,Customers!$A$2:$A$13,Customers!$C$2:$C$13,"Not found")</f>
        <v/>
      </c>
      <c r="H19">
        <f>INDEX(Products!$C$2:$C$19,MATCH(D19,Products!$B$2:$B$19,0))</f>
        <v/>
      </c>
      <c r="I19" s="4">
        <f>_xlfn.XLOOKUP(D19,Products!$B$2:$B$19,Products!$D$2:$D$19,0)</f>
        <v/>
      </c>
      <c r="J19" s="4">
        <f>I19*E19</f>
        <v/>
      </c>
      <c r="K19">
        <f>_xlfn.IFS(J19&gt;=2000,"Platinum",J19&gt;=1000,"Gold",J19&gt;=300,"Silver",TRUE,"Bronze")</f>
        <v/>
      </c>
      <c r="L19" s="5">
        <f>_xlfn.XLOOKUP(K19,TierName,TierDiscount,0)</f>
        <v/>
      </c>
      <c r="M19" s="4">
        <f>J19*(1-L19)</f>
        <v/>
      </c>
    </row>
    <row r="20">
      <c r="A20" t="inlineStr">
        <is>
          <t>O0019</t>
        </is>
      </c>
      <c r="B20" s="2" t="n">
        <v>45671</v>
      </c>
      <c r="C20" t="inlineStr">
        <is>
          <t>C004</t>
        </is>
      </c>
      <c r="D20" t="inlineStr">
        <is>
          <t>ThinkPad X1</t>
        </is>
      </c>
      <c r="E20" s="3" t="n">
        <v>1</v>
      </c>
      <c r="F20">
        <f>_xlfn.XLOOKUP(C20,Customers!$A$2:$A$13,Customers!$B$2:$B$13,"Not found")</f>
        <v/>
      </c>
      <c r="G20">
        <f>_xlfn.XLOOKUP(C20,Customers!$A$2:$A$13,Customers!$C$2:$C$13,"Not found")</f>
        <v/>
      </c>
      <c r="H20">
        <f>INDEX(Products!$C$2:$C$19,MATCH(D20,Products!$B$2:$B$19,0))</f>
        <v/>
      </c>
      <c r="I20" s="4">
        <f>_xlfn.XLOOKUP(D20,Products!$B$2:$B$19,Products!$D$2:$D$19,0)</f>
        <v/>
      </c>
      <c r="J20" s="4">
        <f>I20*E20</f>
        <v/>
      </c>
      <c r="K20">
        <f>_xlfn.IFS(J20&gt;=2000,"Platinum",J20&gt;=1000,"Gold",J20&gt;=300,"Silver",TRUE,"Bronze")</f>
        <v/>
      </c>
      <c r="L20" s="5">
        <f>_xlfn.XLOOKUP(K20,TierName,TierDiscount,0)</f>
        <v/>
      </c>
      <c r="M20" s="4">
        <f>J20*(1-L20)</f>
        <v/>
      </c>
    </row>
    <row r="21">
      <c r="A21" t="inlineStr">
        <is>
          <t>O0020</t>
        </is>
      </c>
      <c r="B21" s="2" t="n">
        <v>45306</v>
      </c>
      <c r="C21" t="inlineStr">
        <is>
          <t>C002</t>
        </is>
      </c>
      <c r="D21" t="inlineStr">
        <is>
          <t>OnePlus 13</t>
        </is>
      </c>
      <c r="E21" s="3" t="n">
        <v>1</v>
      </c>
      <c r="F21">
        <f>_xlfn.XLOOKUP(C21,Customers!$A$2:$A$13,Customers!$B$2:$B$13,"Not found")</f>
        <v/>
      </c>
      <c r="G21">
        <f>_xlfn.XLOOKUP(C21,Customers!$A$2:$A$13,Customers!$C$2:$C$13,"Not found")</f>
        <v/>
      </c>
      <c r="H21">
        <f>INDEX(Products!$C$2:$C$19,MATCH(D21,Products!$B$2:$B$19,0))</f>
        <v/>
      </c>
      <c r="I21" s="4">
        <f>_xlfn.XLOOKUP(D21,Products!$B$2:$B$19,Products!$D$2:$D$19,0)</f>
        <v/>
      </c>
      <c r="J21" s="4">
        <f>I21*E21</f>
        <v/>
      </c>
      <c r="K21">
        <f>_xlfn.IFS(J21&gt;=2000,"Platinum",J21&gt;=1000,"Gold",J21&gt;=300,"Silver",TRUE,"Bronze")</f>
        <v/>
      </c>
      <c r="L21" s="5">
        <f>_xlfn.XLOOKUP(K21,TierName,TierDiscount,0)</f>
        <v/>
      </c>
      <c r="M21" s="4">
        <f>J21*(1-L21)</f>
        <v/>
      </c>
    </row>
    <row r="22">
      <c r="A22" t="inlineStr">
        <is>
          <t>O0021</t>
        </is>
      </c>
      <c r="B22" s="2" t="n">
        <v>45939</v>
      </c>
      <c r="C22" t="inlineStr">
        <is>
          <t>C004</t>
        </is>
      </c>
      <c r="D22" t="inlineStr">
        <is>
          <t>Galaxy Tab S10</t>
        </is>
      </c>
      <c r="E22" s="3" t="n">
        <v>3</v>
      </c>
      <c r="F22">
        <f>_xlfn.XLOOKUP(C22,Customers!$A$2:$A$13,Customers!$B$2:$B$13,"Not found")</f>
        <v/>
      </c>
      <c r="G22">
        <f>_xlfn.XLOOKUP(C22,Customers!$A$2:$A$13,Customers!$C$2:$C$13,"Not found")</f>
        <v/>
      </c>
      <c r="H22">
        <f>INDEX(Products!$C$2:$C$19,MATCH(D22,Products!$B$2:$B$19,0))</f>
        <v/>
      </c>
      <c r="I22" s="4">
        <f>_xlfn.XLOOKUP(D22,Products!$B$2:$B$19,Products!$D$2:$D$19,0)</f>
        <v/>
      </c>
      <c r="J22" s="4">
        <f>I22*E22</f>
        <v/>
      </c>
      <c r="K22">
        <f>_xlfn.IFS(J22&gt;=2000,"Platinum",J22&gt;=1000,"Gold",J22&gt;=300,"Silver",TRUE,"Bronze")</f>
        <v/>
      </c>
      <c r="L22" s="5">
        <f>_xlfn.XLOOKUP(K22,TierName,TierDiscount,0)</f>
        <v/>
      </c>
      <c r="M22" s="4">
        <f>J22*(1-L22)</f>
        <v/>
      </c>
    </row>
    <row r="23">
      <c r="A23" t="inlineStr">
        <is>
          <t>O0022</t>
        </is>
      </c>
      <c r="B23" s="2" t="n">
        <v>45884</v>
      </c>
      <c r="C23" t="inlineStr">
        <is>
          <t>C010</t>
        </is>
      </c>
      <c r="D23" t="inlineStr">
        <is>
          <t>iPad Air 6</t>
        </is>
      </c>
      <c r="E23" s="3" t="n">
        <v>1</v>
      </c>
      <c r="F23">
        <f>_xlfn.XLOOKUP(C23,Customers!$A$2:$A$13,Customers!$B$2:$B$13,"Not found")</f>
        <v/>
      </c>
      <c r="G23">
        <f>_xlfn.XLOOKUP(C23,Customers!$A$2:$A$13,Customers!$C$2:$C$13,"Not found")</f>
        <v/>
      </c>
      <c r="H23">
        <f>INDEX(Products!$C$2:$C$19,MATCH(D23,Products!$B$2:$B$19,0))</f>
        <v/>
      </c>
      <c r="I23" s="4">
        <f>_xlfn.XLOOKUP(D23,Products!$B$2:$B$19,Products!$D$2:$D$19,0)</f>
        <v/>
      </c>
      <c r="J23" s="4">
        <f>I23*E23</f>
        <v/>
      </c>
      <c r="K23">
        <f>_xlfn.IFS(J23&gt;=2000,"Platinum",J23&gt;=1000,"Gold",J23&gt;=300,"Silver",TRUE,"Bronze")</f>
        <v/>
      </c>
      <c r="L23" s="5">
        <f>_xlfn.XLOOKUP(K23,TierName,TierDiscount,0)</f>
        <v/>
      </c>
      <c r="M23" s="4">
        <f>J23*(1-L23)</f>
        <v/>
      </c>
    </row>
    <row r="24">
      <c r="A24" t="inlineStr">
        <is>
          <t>O0023</t>
        </is>
      </c>
      <c r="B24" s="2" t="n">
        <v>45522</v>
      </c>
      <c r="C24" t="inlineStr">
        <is>
          <t>C010</t>
        </is>
      </c>
      <c r="D24" t="inlineStr">
        <is>
          <t>Google Nest Hub 3</t>
        </is>
      </c>
      <c r="E24" s="3" t="n">
        <v>2</v>
      </c>
      <c r="F24">
        <f>_xlfn.XLOOKUP(C24,Customers!$A$2:$A$13,Customers!$B$2:$B$13,"Not found")</f>
        <v/>
      </c>
      <c r="G24">
        <f>_xlfn.XLOOKUP(C24,Customers!$A$2:$A$13,Customers!$C$2:$C$13,"Not found")</f>
        <v/>
      </c>
      <c r="H24">
        <f>INDEX(Products!$C$2:$C$19,MATCH(D24,Products!$B$2:$B$19,0))</f>
        <v/>
      </c>
      <c r="I24" s="4">
        <f>_xlfn.XLOOKUP(D24,Products!$B$2:$B$19,Products!$D$2:$D$19,0)</f>
        <v/>
      </c>
      <c r="J24" s="4">
        <f>I24*E24</f>
        <v/>
      </c>
      <c r="K24">
        <f>_xlfn.IFS(J24&gt;=2000,"Platinum",J24&gt;=1000,"Gold",J24&gt;=300,"Silver",TRUE,"Bronze")</f>
        <v/>
      </c>
      <c r="L24" s="5">
        <f>_xlfn.XLOOKUP(K24,TierName,TierDiscount,0)</f>
        <v/>
      </c>
      <c r="M24" s="4">
        <f>J24*(1-L24)</f>
        <v/>
      </c>
    </row>
    <row r="25">
      <c r="A25" t="inlineStr">
        <is>
          <t>O0024</t>
        </is>
      </c>
      <c r="B25" s="2" t="n">
        <v>46343</v>
      </c>
      <c r="C25" t="inlineStr">
        <is>
          <t>C003</t>
        </is>
      </c>
      <c r="D25" t="inlineStr">
        <is>
          <t>Google Nest Hub 3</t>
        </is>
      </c>
      <c r="E25" s="3" t="n">
        <v>2</v>
      </c>
      <c r="F25">
        <f>_xlfn.XLOOKUP(C25,Customers!$A$2:$A$13,Customers!$B$2:$B$13,"Not found")</f>
        <v/>
      </c>
      <c r="G25">
        <f>_xlfn.XLOOKUP(C25,Customers!$A$2:$A$13,Customers!$C$2:$C$13,"Not found")</f>
        <v/>
      </c>
      <c r="H25">
        <f>INDEX(Products!$C$2:$C$19,MATCH(D25,Products!$B$2:$B$19,0))</f>
        <v/>
      </c>
      <c r="I25" s="4">
        <f>_xlfn.XLOOKUP(D25,Products!$B$2:$B$19,Products!$D$2:$D$19,0)</f>
        <v/>
      </c>
      <c r="J25" s="4">
        <f>I25*E25</f>
        <v/>
      </c>
      <c r="K25">
        <f>_xlfn.IFS(J25&gt;=2000,"Platinum",J25&gt;=1000,"Gold",J25&gt;=300,"Silver",TRUE,"Bronze")</f>
        <v/>
      </c>
      <c r="L25" s="5">
        <f>_xlfn.XLOOKUP(K25,TierName,TierDiscount,0)</f>
        <v/>
      </c>
      <c r="M25" s="4">
        <f>J25*(1-L25)</f>
        <v/>
      </c>
    </row>
    <row r="26">
      <c r="A26" t="inlineStr">
        <is>
          <t>O0025</t>
        </is>
      </c>
      <c r="B26" s="2" t="n">
        <v>46363</v>
      </c>
      <c r="C26" t="inlineStr">
        <is>
          <t>C010</t>
        </is>
      </c>
      <c r="D26" t="inlineStr">
        <is>
          <t>ThinkPad X1</t>
        </is>
      </c>
      <c r="E26" s="3" t="n">
        <v>1</v>
      </c>
      <c r="F26">
        <f>_xlfn.XLOOKUP(C26,Customers!$A$2:$A$13,Customers!$B$2:$B$13,"Not found")</f>
        <v/>
      </c>
      <c r="G26">
        <f>_xlfn.XLOOKUP(C26,Customers!$A$2:$A$13,Customers!$C$2:$C$13,"Not found")</f>
        <v/>
      </c>
      <c r="H26">
        <f>INDEX(Products!$C$2:$C$19,MATCH(D26,Products!$B$2:$B$19,0))</f>
        <v/>
      </c>
      <c r="I26" s="4">
        <f>_xlfn.XLOOKUP(D26,Products!$B$2:$B$19,Products!$D$2:$D$19,0)</f>
        <v/>
      </c>
      <c r="J26" s="4">
        <f>I26*E26</f>
        <v/>
      </c>
      <c r="K26">
        <f>_xlfn.IFS(J26&gt;=2000,"Platinum",J26&gt;=1000,"Gold",J26&gt;=300,"Silver",TRUE,"Bronze")</f>
        <v/>
      </c>
      <c r="L26" s="5">
        <f>_xlfn.XLOOKUP(K26,TierName,TierDiscount,0)</f>
        <v/>
      </c>
      <c r="M26" s="4">
        <f>J26*(1-L26)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.5" customWidth="1" min="2" max="2"/>
    <col width="12.5" customWidth="1" min="3" max="3"/>
    <col width="12.5" customWidth="1" min="4" max="4"/>
  </cols>
  <sheetData>
    <row r="1" ht="20" customHeight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List Price</t>
        </is>
      </c>
    </row>
    <row r="2">
      <c r="A2" t="inlineStr">
        <is>
          <t>NT-001</t>
        </is>
      </c>
      <c r="B2" t="inlineStr">
        <is>
          <t>Bluetooth Headphones</t>
        </is>
      </c>
      <c r="C2" t="inlineStr">
        <is>
          <t>Accessory</t>
        </is>
      </c>
      <c r="D2" s="4" t="n">
        <v>86.98999999999999</v>
      </c>
    </row>
    <row r="3">
      <c r="A3" t="inlineStr">
        <is>
          <t>NT-002</t>
        </is>
      </c>
      <c r="B3" t="inlineStr">
        <is>
          <t>Dell XPS 15</t>
        </is>
      </c>
      <c r="C3" t="inlineStr">
        <is>
          <t>Laptop</t>
        </is>
      </c>
      <c r="D3" s="4" t="n">
        <v>1462.12</v>
      </c>
    </row>
    <row r="4">
      <c r="A4" t="inlineStr">
        <is>
          <t>NT-003</t>
        </is>
      </c>
      <c r="B4" t="inlineStr">
        <is>
          <t>Echo Dot 6</t>
        </is>
      </c>
      <c r="C4" t="inlineStr">
        <is>
          <t>Smart Home</t>
        </is>
      </c>
      <c r="D4" s="4" t="n">
        <v>167.73</v>
      </c>
    </row>
    <row r="5">
      <c r="A5" t="inlineStr">
        <is>
          <t>NT-004</t>
        </is>
      </c>
      <c r="B5" t="inlineStr">
        <is>
          <t>Galaxy S24</t>
        </is>
      </c>
      <c r="C5" t="inlineStr">
        <is>
          <t>Smartphone</t>
        </is>
      </c>
      <c r="D5" s="4" t="n">
        <v>730.12</v>
      </c>
    </row>
    <row r="6">
      <c r="A6" t="inlineStr">
        <is>
          <t>NT-005</t>
        </is>
      </c>
      <c r="B6" t="inlineStr">
        <is>
          <t>Galaxy Tab S10</t>
        </is>
      </c>
      <c r="C6" t="inlineStr">
        <is>
          <t>Tablet</t>
        </is>
      </c>
      <c r="D6" s="4" t="n">
        <v>572.75</v>
      </c>
    </row>
    <row r="7">
      <c r="A7" t="inlineStr">
        <is>
          <t>NT-006</t>
        </is>
      </c>
      <c r="B7" t="inlineStr">
        <is>
          <t>Google Nest Hub 3</t>
        </is>
      </c>
      <c r="C7" t="inlineStr">
        <is>
          <t>Smart Home</t>
        </is>
      </c>
      <c r="D7" s="4" t="n">
        <v>239.47</v>
      </c>
    </row>
    <row r="8">
      <c r="A8" t="inlineStr">
        <is>
          <t>NT-007</t>
        </is>
      </c>
      <c r="B8" t="inlineStr">
        <is>
          <t>HP Spectre x360</t>
        </is>
      </c>
      <c r="C8" t="inlineStr">
        <is>
          <t>Laptop</t>
        </is>
      </c>
      <c r="D8" s="4" t="n">
        <v>1505.26</v>
      </c>
    </row>
    <row r="9">
      <c r="A9" t="inlineStr">
        <is>
          <t>NT-008</t>
        </is>
      </c>
      <c r="B9" t="inlineStr">
        <is>
          <t>Laptop Sleeve 15in</t>
        </is>
      </c>
      <c r="C9" t="inlineStr">
        <is>
          <t>Accessory</t>
        </is>
      </c>
      <c r="D9" s="4" t="n">
        <v>107.3</v>
      </c>
    </row>
    <row r="10">
      <c r="A10" t="inlineStr">
        <is>
          <t>NT-009</t>
        </is>
      </c>
      <c r="B10" t="inlineStr">
        <is>
          <t>MacBook Air M4</t>
        </is>
      </c>
      <c r="C10" t="inlineStr">
        <is>
          <t>Laptop</t>
        </is>
      </c>
      <c r="D10" s="4" t="n">
        <v>1337.73</v>
      </c>
    </row>
    <row r="11">
      <c r="A11" t="inlineStr">
        <is>
          <t>NT-010</t>
        </is>
      </c>
      <c r="B11" t="inlineStr">
        <is>
          <t>OnePlus 13</t>
        </is>
      </c>
      <c r="C11" t="inlineStr">
        <is>
          <t>Smartphone</t>
        </is>
      </c>
      <c r="D11" s="4" t="n">
        <v>745.25</v>
      </c>
    </row>
    <row r="12">
      <c r="A12" t="inlineStr">
        <is>
          <t>NT-011</t>
        </is>
      </c>
      <c r="B12" t="inlineStr">
        <is>
          <t>Pixel 9 Pro</t>
        </is>
      </c>
      <c r="C12" t="inlineStr">
        <is>
          <t>Smartphone</t>
        </is>
      </c>
      <c r="D12" s="4" t="n">
        <v>1019</v>
      </c>
    </row>
    <row r="13">
      <c r="A13" t="inlineStr">
        <is>
          <t>NT-012</t>
        </is>
      </c>
      <c r="B13" t="inlineStr">
        <is>
          <t>Ring Doorbell Pro</t>
        </is>
      </c>
      <c r="C13" t="inlineStr">
        <is>
          <t>Smart Home</t>
        </is>
      </c>
      <c r="D13" s="4" t="n">
        <v>157.97</v>
      </c>
    </row>
    <row r="14">
      <c r="A14" t="inlineStr">
        <is>
          <t>NT-013</t>
        </is>
      </c>
      <c r="B14" t="inlineStr">
        <is>
          <t>Surface Go 4</t>
        </is>
      </c>
      <c r="C14" t="inlineStr">
        <is>
          <t>Tablet</t>
        </is>
      </c>
      <c r="D14" s="4" t="n">
        <v>863.4</v>
      </c>
    </row>
    <row r="15">
      <c r="A15" t="inlineStr">
        <is>
          <t>NT-014</t>
        </is>
      </c>
      <c r="B15" t="inlineStr">
        <is>
          <t>ThinkPad X1</t>
        </is>
      </c>
      <c r="C15" t="inlineStr">
        <is>
          <t>Laptop</t>
        </is>
      </c>
      <c r="D15" s="4" t="n">
        <v>1339.7</v>
      </c>
    </row>
    <row r="16">
      <c r="A16" t="inlineStr">
        <is>
          <t>NT-015</t>
        </is>
      </c>
      <c r="B16" t="inlineStr">
        <is>
          <t>USB-C Hub 7in1</t>
        </is>
      </c>
      <c r="C16" t="inlineStr">
        <is>
          <t>Accessory</t>
        </is>
      </c>
      <c r="D16" s="4" t="n">
        <v>113.64</v>
      </c>
    </row>
    <row r="17">
      <c r="A17" t="inlineStr">
        <is>
          <t>NT-016</t>
        </is>
      </c>
      <c r="B17" t="inlineStr">
        <is>
          <t>Wireless Mouse Pro</t>
        </is>
      </c>
      <c r="C17" t="inlineStr">
        <is>
          <t>Accessory</t>
        </is>
      </c>
      <c r="D17" s="4" t="n">
        <v>88</v>
      </c>
    </row>
    <row r="18">
      <c r="A18" t="inlineStr">
        <is>
          <t>NT-017</t>
        </is>
      </c>
      <c r="B18" t="inlineStr">
        <is>
          <t>iPad Air 6</t>
        </is>
      </c>
      <c r="C18" t="inlineStr">
        <is>
          <t>Tablet</t>
        </is>
      </c>
      <c r="D18" s="4" t="n">
        <v>721.84</v>
      </c>
    </row>
    <row r="19">
      <c r="A19" t="inlineStr">
        <is>
          <t>NT-018</t>
        </is>
      </c>
      <c r="B19" t="inlineStr">
        <is>
          <t>iPhone 16</t>
        </is>
      </c>
      <c r="C19" t="inlineStr">
        <is>
          <t>Smartphone</t>
        </is>
      </c>
      <c r="D19" s="4" t="n">
        <v>862.75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5.5" customWidth="1" min="3" max="3"/>
    <col width="15.5" customWidth="1" min="4" max="4"/>
    <col width="9" customWidth="1" min="5" max="5"/>
  </cols>
  <sheetData>
    <row r="1" ht="20" customHeight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Score</t>
        </is>
      </c>
    </row>
    <row r="2">
      <c r="A2" t="inlineStr">
        <is>
          <t>C001</t>
        </is>
      </c>
      <c r="B2" t="inlineStr">
        <is>
          <t>Alex Johnson</t>
        </is>
      </c>
      <c r="C2" t="inlineStr">
        <is>
          <t>United States</t>
        </is>
      </c>
      <c r="D2" t="inlineStr">
        <is>
          <t>San Francisco</t>
        </is>
      </c>
      <c r="E2" t="n">
        <v>20</v>
      </c>
    </row>
    <row r="3">
      <c r="A3" t="inlineStr">
        <is>
          <t>C002</t>
        </is>
      </c>
      <c r="B3" t="inlineStr">
        <is>
          <t>Maria Garcia</t>
        </is>
      </c>
      <c r="C3" t="inlineStr">
        <is>
          <t>United States</t>
        </is>
      </c>
      <c r="D3" t="inlineStr">
        <is>
          <t>New York</t>
        </is>
      </c>
      <c r="E3" t="n">
        <v>100</v>
      </c>
    </row>
    <row r="4">
      <c r="A4" t="inlineStr">
        <is>
          <t>C003</t>
        </is>
      </c>
      <c r="B4" t="inlineStr">
        <is>
          <t>John Smith</t>
        </is>
      </c>
      <c r="C4" t="inlineStr">
        <is>
          <t>United States</t>
        </is>
      </c>
      <c r="D4" t="inlineStr">
        <is>
          <t>Dallas</t>
        </is>
      </c>
    </row>
    <row r="5">
      <c r="A5" t="inlineStr">
        <is>
          <t>C004</t>
        </is>
      </c>
      <c r="B5" t="inlineStr">
        <is>
          <t>Li Zhang</t>
        </is>
      </c>
      <c r="C5" t="inlineStr">
        <is>
          <t>United States</t>
        </is>
      </c>
      <c r="D5" t="inlineStr">
        <is>
          <t>Seattle</t>
        </is>
      </c>
      <c r="E5" t="n">
        <v>30</v>
      </c>
    </row>
    <row r="6">
      <c r="A6" t="inlineStr">
        <is>
          <t>C005</t>
        </is>
      </c>
      <c r="B6" t="inlineStr">
        <is>
          <t>Aarav Kumar</t>
        </is>
      </c>
      <c r="C6" t="inlineStr">
        <is>
          <t>United States</t>
        </is>
      </c>
      <c r="D6" t="inlineStr">
        <is>
          <t>Miami</t>
        </is>
      </c>
      <c r="E6" t="n">
        <v>150</v>
      </c>
    </row>
    <row r="7">
      <c r="A7" t="inlineStr">
        <is>
          <t>C006</t>
        </is>
      </c>
      <c r="B7" t="inlineStr">
        <is>
          <t>Sofia Lopez</t>
        </is>
      </c>
      <c r="C7" t="inlineStr">
        <is>
          <t>United States</t>
        </is>
      </c>
      <c r="D7" t="inlineStr">
        <is>
          <t>Chicago</t>
        </is>
      </c>
    </row>
    <row r="8">
      <c r="A8" t="inlineStr">
        <is>
          <t>C007</t>
        </is>
      </c>
      <c r="B8" t="inlineStr">
        <is>
          <t>Michael Miller</t>
        </is>
      </c>
      <c r="C8" t="inlineStr">
        <is>
          <t>United States</t>
        </is>
      </c>
      <c r="D8" t="inlineStr">
        <is>
          <t>Los Angeles</t>
        </is>
      </c>
      <c r="E8" t="n">
        <v>25</v>
      </c>
    </row>
    <row r="9">
      <c r="A9" t="inlineStr">
        <is>
          <t>C008</t>
        </is>
      </c>
      <c r="B9" t="inlineStr">
        <is>
          <t>Wei Wang</t>
        </is>
      </c>
      <c r="C9" t="inlineStr">
        <is>
          <t>United States</t>
        </is>
      </c>
      <c r="D9" t="inlineStr">
        <is>
          <t>Newark</t>
        </is>
      </c>
    </row>
    <row r="10">
      <c r="A10" t="inlineStr">
        <is>
          <t>C009</t>
        </is>
      </c>
      <c r="B10" t="inlineStr">
        <is>
          <t>Priya Singh</t>
        </is>
      </c>
      <c r="C10" t="inlineStr">
        <is>
          <t>Germany</t>
        </is>
      </c>
      <c r="D10" t="inlineStr">
        <is>
          <t>Munich</t>
        </is>
      </c>
      <c r="E10" t="n">
        <v>50</v>
      </c>
    </row>
    <row r="11">
      <c r="A11" t="inlineStr">
        <is>
          <t>C010</t>
        </is>
      </c>
      <c r="B11" t="inlineStr">
        <is>
          <t>Emily Brown</t>
        </is>
      </c>
      <c r="C11" t="inlineStr">
        <is>
          <t>China</t>
        </is>
      </c>
      <c r="D11" t="inlineStr">
        <is>
          <t>Shenzhen</t>
        </is>
      </c>
      <c r="E11" t="n">
        <v>350</v>
      </c>
    </row>
    <row r="12">
      <c r="A12" t="inlineStr">
        <is>
          <t>C011</t>
        </is>
      </c>
      <c r="B12" t="inlineStr">
        <is>
          <t>David Davis</t>
        </is>
      </c>
      <c r="C12" t="inlineStr">
        <is>
          <t>India</t>
        </is>
      </c>
      <c r="D12" t="inlineStr">
        <is>
          <t>Bengaluru</t>
        </is>
      </c>
    </row>
    <row r="13">
      <c r="A13" t="inlineStr">
        <is>
          <t>C012</t>
        </is>
      </c>
      <c r="B13" t="inlineStr">
        <is>
          <t>Chen Li</t>
        </is>
      </c>
      <c r="C13" t="inlineStr">
        <is>
          <t>China</t>
        </is>
      </c>
      <c r="D13" t="inlineStr">
        <is>
          <t>Shanghai</t>
        </is>
      </c>
      <c r="E13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3.5" customWidth="1" min="2" max="2"/>
    <col width="10.5" customWidth="1" min="3" max="3"/>
  </cols>
  <sheetData>
    <row r="1">
      <c r="A1" s="6" t="inlineStr">
        <is>
          <t>Discount tiers - edit these and every order recalculates</t>
        </is>
      </c>
    </row>
    <row r="2"/>
    <row r="3" ht="20" customHeight="1">
      <c r="A3" s="1" t="inlineStr">
        <is>
          <t>Tier</t>
        </is>
      </c>
      <c r="B3" s="1" t="inlineStr">
        <is>
          <t>Min Revenue</t>
        </is>
      </c>
      <c r="C3" s="1" t="inlineStr">
        <is>
          <t>Discount</t>
        </is>
      </c>
    </row>
    <row r="4">
      <c r="A4" s="7" t="inlineStr">
        <is>
          <t>Platinum</t>
        </is>
      </c>
      <c r="B4" s="8" t="n">
        <v>2000</v>
      </c>
      <c r="C4" s="9" t="n">
        <v>0.15</v>
      </c>
    </row>
    <row r="5">
      <c r="A5" s="7" t="inlineStr">
        <is>
          <t>Gold</t>
        </is>
      </c>
      <c r="B5" s="8" t="n">
        <v>1000</v>
      </c>
      <c r="C5" s="9" t="n">
        <v>0.1</v>
      </c>
    </row>
    <row r="6">
      <c r="A6" s="7" t="inlineStr">
        <is>
          <t>Silver</t>
        </is>
      </c>
      <c r="B6" s="8" t="n">
        <v>300</v>
      </c>
      <c r="C6" s="9" t="n">
        <v>0.05</v>
      </c>
    </row>
    <row r="7">
      <c r="A7" s="7" t="inlineStr">
        <is>
          <t>Bronze</t>
        </is>
      </c>
      <c r="B7" s="8" t="n">
        <v>0</v>
      </c>
      <c r="C7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6" t="inlineStr">
        <is>
          <t>Dynamic Arrays - one formula, many results</t>
        </is>
      </c>
    </row>
    <row r="3">
      <c r="A3" s="10" t="inlineStr">
        <is>
          <t>1. UNIQUE - every distinct category, no duplicates</t>
        </is>
      </c>
      <c r="F3" s="11" t="inlineStr"/>
    </row>
    <row r="4">
      <c r="A4" s="12">
        <f>_xlfn.UNIQUE(Products!C2:C19)</f>
        <v/>
      </c>
    </row>
    <row r="12">
      <c r="A12" s="10" t="inlineStr">
        <is>
          <t>2. SORT - products sorted by list price, highest first</t>
        </is>
      </c>
      <c r="F12" s="11" t="inlineStr"/>
    </row>
    <row r="13">
      <c r="A13" s="12">
        <f>_xlfn._xlws.SORT(Products!B2:D19,3,-1)</f>
        <v/>
      </c>
    </row>
    <row r="35">
      <c r="A35" s="10" t="inlineStr">
        <is>
          <t>3. FILTER - only the Laptop products</t>
        </is>
      </c>
      <c r="F35" s="11" t="inlineStr"/>
    </row>
    <row r="36">
      <c r="A36" s="12">
        <f>_xlfn._xlws.FILTER(Products!B2:D19,Products!C2:C19="Laptop","none found")</f>
        <v/>
      </c>
    </row>
    <row r="45">
      <c r="A45" s="10" t="inlineStr">
        <is>
          <t>4. FILTER + SORT combined - orders over $1,000, biggest first</t>
        </is>
      </c>
      <c r="F45" s="11" t="inlineStr"/>
    </row>
    <row r="46">
      <c r="A46" s="12">
        <f>_xlfn._xlws.SORT(_xlfn._xlws.FILTER(Orders!A2:E26,Orders!E2:E26&gt;=2,"none"),1,1)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2026-07-20T19:15:19Z</dcterms:created>
  <dcterms:modified xsi:type="dcterms:W3CDTF">2026-07-20T19:15:19Z</dcterms:modified>
</cp:coreProperties>
</file>